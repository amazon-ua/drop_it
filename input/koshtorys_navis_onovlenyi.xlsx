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80"/>
  </bookViews>
  <sheets>
    <sheet name="Коштори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<sst xmlns="http://schemas.openxmlformats.org/spreadsheetml/2006/main" count="89" uniqueCount="82">
  <si>
    <t>Кошторис навеса 7 × 6 м</t>
  </si>
  <si>
    <t>Ведомость профильных труб по расчёту навеса 7 × 6 м: 5 поперечных ферм, угол скатов 12°, цены СтройРяда.</t>
  </si>
  <si>
    <t>Материалы, грн</t>
  </si>
  <si>
    <t>Работа, грн</t>
  </si>
  <si>
    <t>Расчётный итог, грн</t>
  </si>
  <si>
    <t>Цена предложения, грн</t>
  </si>
  <si>
    <t>Резерв, грн</t>
  </si>
  <si>
    <t/>
  </si>
  <si>
    <t>1 Ведомость профильных труб</t>
  </si>
  <si>
    <t>Профиль</t>
  </si>
  <si>
    <t>Закупка</t>
  </si>
  <si>
    <t>Цена, грн/м</t>
  </si>
  <si>
    <t>Стоимость, грн</t>
  </si>
  <si>
    <t>Назначение</t>
  </si>
  <si>
    <t>100×100×5 (факт. 4,8 мм)</t>
  </si>
  <si>
    <t>24 м / 4 хлыста</t>
  </si>
  <si>
    <t>5 стоек; позиция СтройРяда 5,0 (4,8) мм</t>
  </si>
  <si>
    <t>60×40×3</t>
  </si>
  <si>
    <t>90 м / 15 хлыстов</t>
  </si>
  <si>
    <t>Пояса продольных и поперечных ферм</t>
  </si>
  <si>
    <t>40×40×2</t>
  </si>
  <si>
    <t>228 м / 38 хлыстов</t>
  </si>
  <si>
    <t>Прогоны, решётка ферм, подкосы и Х-связи кровли</t>
  </si>
  <si>
    <t>Всего: 342 м, 57 шестиметровых хлыстов</t>
  </si>
  <si>
    <t>Цена: СтройРяд, профильная труба</t>
  </si>
  <si>
    <t>ИТОГО</t>
  </si>
  <si>
    <t>2 Полная комплектация материалов</t>
  </si>
  <si>
    <t>Позиция</t>
  </si>
  <si>
    <t>Количество</t>
  </si>
  <si>
    <t>Сумма, грн</t>
  </si>
  <si>
    <t>Примечание</t>
  </si>
  <si>
    <t>Профильные трубы по ведомости</t>
  </si>
  <si>
    <t>342 м</t>
  </si>
  <si>
    <t>57 хлыстов по 6 м</t>
  </si>
  <si>
    <t>Арматура для разварки столбов в лунках</t>
  </si>
  <si>
    <t>комплект</t>
  </si>
  <si>
    <t>Без шпилек, анкерных болтов, фланцев и стаканов</t>
  </si>
  <si>
    <t>Бетон В20 для лунок под столбы</t>
  </si>
  <si>
    <t>расчётно</t>
  </si>
  <si>
    <t>Прямое бетонирование столбов в грунте</t>
  </si>
  <si>
    <t>Металлочерепица, двусторонний графит</t>
  </si>
  <si>
    <t>50,0 м²</t>
  </si>
  <si>
    <t>46,8 м² + около 7% запаса</t>
  </si>
  <si>
    <t>Конёк кровельный 200×200, графит</t>
  </si>
  <si>
    <t>8 м</t>
  </si>
  <si>
    <t>Общая длина 8 м</t>
  </si>
  <si>
    <t>Боковые торцевые планки, графит</t>
  </si>
  <si>
    <t>С нахлёстами</t>
  </si>
  <si>
    <t>Кровельные саморезы и уплотнитель</t>
  </si>
  <si>
    <t>Около 400 саморезов</t>
  </si>
  <si>
    <t>Водосточная система графит</t>
  </si>
  <si>
    <t>20 м</t>
  </si>
  <si>
    <t>Желоба, спуск 3 м, соединители и крепёж</t>
  </si>
  <si>
    <t>Грунт-эмаль 3-в-1 графит + растворитель</t>
  </si>
  <si>
    <t>около 15 кг</t>
  </si>
  <si>
    <t>2 слоя, площадь окраски около 52 м²</t>
  </si>
  <si>
    <t>Сварочная проволока, электроды, газ, круги, свёрла</t>
  </si>
  <si>
    <t>Производственные расходники</t>
  </si>
  <si>
    <t>Мелкий металл и непредвиденные расходники</t>
  </si>
  <si>
    <t>Шаблоны, фасонки, герметик</t>
  </si>
  <si>
    <t>Доставка металла, бетона, кровли и конструкций</t>
  </si>
  <si>
    <t>4 рейса</t>
  </si>
  <si>
    <t>1 500 грн за рейс</t>
  </si>
  <si>
    <t>ИТОГО МАТЕРИАЛЫ</t>
  </si>
  <si>
    <t>Включая сопутствующие расходы и 4 доставки</t>
  </si>
  <si>
    <t>3 Стоимость работ</t>
  </si>
  <si>
    <t>Вид работ</t>
  </si>
  <si>
    <t>Копка лунок под столбы</t>
  </si>
  <si>
    <t>Армирование и бетонирование столбов непосредственно в лунках</t>
  </si>
  <si>
    <t>Изготовление ферм и металлокаркаса</t>
  </si>
  <si>
    <t>Подготовка поверхности и окраска каркаса в 2 слоя</t>
  </si>
  <si>
    <t>Монтаж столбов, ферм, прогонов и связей</t>
  </si>
  <si>
    <t>Монтаж кровли, конька и планок</t>
  </si>
  <si>
    <t>Монтаж водостока, герметизация и регулировка</t>
  </si>
  <si>
    <t>Дополнительные работы по изготовлению и монтажу</t>
  </si>
  <si>
    <t>ИТОГО РАБОТА</t>
  </si>
  <si>
    <t>Условия и границы сметы</t>
  </si>
  <si>
    <t>1. Столбы устанавливаются непосредственно в лунки с разваркой арматуры и бетонированием; металлические стаканы не применяются.</t>
  </si>
  <si>
    <t>2. В смету не включены шпильки, анкерные болты, фланцы, анкерные шаблоны и другие элементы стаканов.</t>
  </si>
  <si>
    <t>3. Включены кровля, водосток, окраска, производственные расходники, бетон и 4 доставки.</t>
  </si>
  <si>
    <t>4. Объёмы бетона и земляных работ уточняются по фактическому количеству и размеру лунок.</t>
  </si>
  <si>
    <t>5. Цена действительна 7 календарных дней при сохранении стоимости материалов.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</si>
</sst>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&quot;грн&quot;"/>
  </numFmts>
  <fonts count="31">
    <font>
      <sz val="11"/>
      <name val="Carlito"/>
      <charset val="134"/>
    </font>
    <font>
      <sz val="10"/>
      <color rgb="FF26384B"/>
      <name val="Arial"/>
      <charset val="134"/>
    </font>
    <font>
      <b/>
      <sz val="16"/>
      <color rgb="FF000000"/>
      <name val="Arial"/>
      <charset val="134"/>
    </font>
    <font>
      <i/>
      <sz val="10"/>
      <color rgb="FF5B6C7E"/>
      <name val="Arial"/>
      <charset val="134"/>
    </font>
    <font>
      <b/>
      <sz val="10"/>
      <color rgb="FF26384B"/>
      <name val="Arial"/>
      <charset val="134"/>
    </font>
    <font>
      <b/>
      <sz val="12"/>
      <color rgb="FF173E67"/>
      <name val="Arial"/>
      <charset val="134"/>
    </font>
    <font>
      <b/>
      <sz val="9"/>
      <color rgb="FF5B6C7E"/>
      <name val="Arial"/>
      <charset val="134"/>
    </font>
    <font>
      <b/>
      <sz val="12"/>
      <color rgb="FF000000"/>
      <name val="Arial"/>
      <charset val="134"/>
    </font>
    <font>
      <b/>
      <sz val="10"/>
      <color rgb="FFFFFFFF"/>
      <name val="Arial"/>
      <charset val="134"/>
    </font>
    <font>
      <i/>
      <sz val="10"/>
      <color rgb="FF4B5563"/>
      <name val="Arial"/>
      <charset val="134"/>
    </font>
    <font>
      <b/>
      <sz val="10"/>
      <color rgb="FF17365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1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E67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vertical="center" wrapText="1"/>
    </xf>
    <xf numFmtId="0" fontId="4" fillId="2" borderId="1" xfId="49" applyNumberFormat="1" applyFont="1" applyFill="1" applyBorder="1" applyAlignment="1">
      <alignment horizontal="center" vertical="center" wrapText="1"/>
    </xf>
    <xf numFmtId="178" fontId="5" fillId="0" borderId="1" xfId="49" applyNumberFormat="1" applyFont="1" applyFill="1" applyBorder="1" applyAlignment="1">
      <alignment vertical="center" wrapText="1"/>
    </xf>
    <xf numFmtId="178" fontId="5" fillId="3" borderId="1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 wrapText="1"/>
    </xf>
    <xf numFmtId="3" fontId="5" fillId="0" borderId="0" xfId="49" applyNumberFormat="1" applyFont="1" applyFill="1" applyBorder="1" applyAlignment="1">
      <alignment vertical="center" wrapText="1"/>
    </xf>
    <xf numFmtId="0" fontId="7" fillId="2" borderId="2" xfId="49" applyNumberFormat="1" applyFont="1" applyFill="1" applyBorder="1" applyAlignment="1">
      <alignment vertical="center" wrapText="1"/>
    </xf>
    <xf numFmtId="0" fontId="7" fillId="2" borderId="3" xfId="49" applyNumberFormat="1" applyFont="1" applyFill="1" applyBorder="1" applyAlignment="1">
      <alignment vertical="center" wrapText="1"/>
    </xf>
    <xf numFmtId="0" fontId="7" fillId="2" borderId="4" xfId="49" applyNumberFormat="1" applyFont="1" applyFill="1" applyBorder="1" applyAlignment="1">
      <alignment vertical="center" wrapText="1"/>
    </xf>
    <xf numFmtId="0" fontId="8" fillId="4" borderId="1" xfId="49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vertical="center" wrapText="1"/>
    </xf>
    <xf numFmtId="3" fontId="1" fillId="3" borderId="1" xfId="49" applyNumberFormat="1" applyFont="1" applyFill="1" applyBorder="1" applyAlignment="1">
      <alignment vertical="center" wrapText="1"/>
    </xf>
    <xf numFmtId="178" fontId="1" fillId="3" borderId="1" xfId="49" applyNumberFormat="1" applyFont="1" applyFill="1" applyBorder="1" applyAlignment="1">
      <alignment vertical="center" wrapText="1"/>
    </xf>
    <xf numFmtId="178" fontId="1" fillId="5" borderId="1" xfId="49" applyNumberFormat="1" applyFont="1" applyFill="1" applyBorder="1" applyAlignment="1">
      <alignment vertical="center" wrapText="1"/>
    </xf>
    <xf numFmtId="3" fontId="1" fillId="0" borderId="1" xfId="49" applyNumberFormat="1" applyFont="1" applyFill="1" applyBorder="1" applyAlignment="1">
      <alignment vertical="center" wrapText="1"/>
    </xf>
    <xf numFmtId="0" fontId="9" fillId="0" borderId="1" xfId="49" applyNumberFormat="1" applyFont="1" applyFill="1" applyBorder="1" applyAlignment="1">
      <alignment vertical="center" wrapText="1"/>
    </xf>
    <xf numFmtId="3" fontId="9" fillId="3" borderId="1" xfId="49" applyNumberFormat="1" applyFont="1" applyFill="1" applyBorder="1" applyAlignment="1">
      <alignment vertical="center" wrapText="1"/>
    </xf>
    <xf numFmtId="178" fontId="9" fillId="3" borderId="1" xfId="49" applyNumberFormat="1" applyFont="1" applyFill="1" applyBorder="1" applyAlignment="1">
      <alignment vertical="center" wrapText="1"/>
    </xf>
    <xf numFmtId="178" fontId="9" fillId="5" borderId="1" xfId="49" applyNumberFormat="1" applyFont="1" applyFill="1" applyBorder="1" applyAlignment="1">
      <alignment vertical="center" wrapText="1"/>
    </xf>
    <xf numFmtId="3" fontId="9" fillId="0" borderId="1" xfId="49" applyNumberFormat="1" applyFont="1" applyFill="1" applyBorder="1" applyAlignment="1">
      <alignment vertical="center" wrapText="1"/>
    </xf>
    <xf numFmtId="0" fontId="10" fillId="2" borderId="1" xfId="49" applyNumberFormat="1" applyFont="1" applyFill="1" applyBorder="1" applyAlignment="1">
      <alignment vertical="center" wrapText="1"/>
    </xf>
    <xf numFmtId="3" fontId="10" fillId="2" borderId="1" xfId="49" applyNumberFormat="1" applyFont="1" applyFill="1" applyBorder="1" applyAlignment="1">
      <alignment vertical="center" wrapText="1"/>
    </xf>
    <xf numFmtId="178" fontId="10" fillId="2" borderId="1" xfId="49" applyNumberFormat="1" applyFont="1" applyFill="1" applyBorder="1" applyAlignment="1">
      <alignment vertical="center" wrapText="1"/>
    </xf>
    <xf numFmtId="178" fontId="10" fillId="5" borderId="1" xfId="49" applyNumberFormat="1" applyFont="1" applyFill="1" applyBorder="1" applyAlignment="1">
      <alignment vertical="center" wrapText="1"/>
    </xf>
    <xf numFmtId="0" fontId="4" fillId="2" borderId="1" xfId="49" applyNumberFormat="1" applyFont="1" applyFill="1" applyBorder="1" applyAlignment="1">
      <alignment vertical="center" wrapText="1"/>
    </xf>
    <xf numFmtId="178" fontId="4" fillId="2" borderId="1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E67"/>
  </sheetPr>
  <dimension ref="A1:E55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3.8" outlineLevelCol="4"/>
  <cols>
    <col min="1" max="1" width="48" customWidth="1"/>
    <col min="2" max="2" width="18" customWidth="1"/>
    <col min="3" max="3" width="24" customWidth="1"/>
    <col min="4" max="4" width="31" customWidth="1"/>
    <col min="5" max="5" width="18" customWidth="1"/>
  </cols>
  <sheetData>
    <row r="1" spans="1:5">
      <c r="A1" s="1"/>
      <c r="B1" s="1"/>
      <c r="C1" s="1"/>
      <c r="D1" s="1"/>
      <c r="E1" s="1"/>
    </row>
    <row r="2" ht="28" customHeight="1" spans="1:5">
      <c r="A2" s="2" t="s">
        <v>0</v>
      </c>
      <c r="B2" s="2"/>
      <c r="C2" s="2"/>
      <c r="D2" s="2"/>
      <c r="E2" s="2"/>
    </row>
    <row r="3" ht="22" customHeight="1" spans="1:5">
      <c r="A3" s="3" t="s">
        <v>1</v>
      </c>
      <c r="B3" s="3"/>
      <c r="C3" s="3"/>
      <c r="D3" s="3"/>
      <c r="E3" s="3"/>
    </row>
    <row r="4" spans="1:5">
      <c r="A4" s="4"/>
      <c r="B4" s="4"/>
      <c r="C4" s="4"/>
      <c r="D4" s="4"/>
      <c r="E4" s="4"/>
    </row>
    <row r="5" spans="1:5">
      <c r="A5" s="5" t="s">
        <v>2</v>
      </c>
      <c r="B5" s="5" t="s">
        <v>3</v>
      </c>
      <c r="C5" s="5" t="s">
        <v>4</v>
      </c>
      <c r="D5" s="5" t="s">
        <v>5</v>
      </c>
      <c r="E5" s="4"/>
    </row>
    <row r="6" ht="15.6" spans="1:5">
      <c r="A6" s="6">
        <f>C34</f>
        <v>162730</v>
      </c>
      <c r="B6" s="6">
        <f>B48</f>
        <v>77000</v>
      </c>
      <c r="C6" s="6">
        <f>A6+B6</f>
        <v>239730</v>
      </c>
      <c r="D6" s="7">
        <f>C6</f>
        <v>239730</v>
      </c>
      <c r="E6" s="4"/>
    </row>
    <row r="7" spans="1:5">
      <c r="A7" s="8" t="s">
        <v>6</v>
      </c>
      <c r="B7" s="4" t="s">
        <v>7</v>
      </c>
      <c r="C7" s="4" t="s">
        <v>7</v>
      </c>
      <c r="D7" s="4" t="s">
        <v>7</v>
      </c>
      <c r="E7" s="4"/>
    </row>
    <row r="8" ht="15.6" spans="1:5">
      <c r="A8" s="9">
        <f>D6-C6</f>
        <v>0</v>
      </c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ht="15.6" spans="1:5">
      <c r="A10" s="10" t="s">
        <v>8</v>
      </c>
      <c r="B10" s="11"/>
      <c r="C10" s="11"/>
      <c r="D10" s="11"/>
      <c r="E10" s="12"/>
    </row>
    <row r="11" ht="24" customHeight="1" spans="1:5">
      <c r="A11" s="13" t="s">
        <v>9</v>
      </c>
      <c r="B11" s="13" t="s">
        <v>10</v>
      </c>
      <c r="C11" s="13" t="s">
        <v>11</v>
      </c>
      <c r="D11" s="13" t="s">
        <v>12</v>
      </c>
      <c r="E11" s="13" t="s">
        <v>13</v>
      </c>
    </row>
    <row r="12" ht="24" customHeight="1" spans="1:5">
      <c r="A12" s="14" t="s">
        <v>14</v>
      </c>
      <c r="B12" s="15" t="s">
        <v>15</v>
      </c>
      <c r="C12" s="16">
        <v>844</v>
      </c>
      <c r="D12" s="17">
        <f>VALUE(LEFT(B12,FIND(" ",B12)-1))*C12</f>
        <v>20256</v>
      </c>
      <c r="E12" s="18" t="s">
        <v>16</v>
      </c>
    </row>
    <row r="13" ht="24" customHeight="1" spans="1:5">
      <c r="A13" s="14" t="s">
        <v>17</v>
      </c>
      <c r="B13" s="15" t="s">
        <v>18</v>
      </c>
      <c r="C13" s="16">
        <v>294</v>
      </c>
      <c r="D13" s="17">
        <f>VALUE(LEFT(B13,FIND(" ",B13)-1))*C13</f>
        <v>26460</v>
      </c>
      <c r="E13" s="18" t="s">
        <v>19</v>
      </c>
    </row>
    <row r="14" ht="24" customHeight="1" spans="1:5">
      <c r="A14" s="14" t="s">
        <v>20</v>
      </c>
      <c r="B14" s="15" t="s">
        <v>21</v>
      </c>
      <c r="C14" s="16">
        <v>148</v>
      </c>
      <c r="D14" s="17">
        <f>VALUE(LEFT(B14,FIND(" ",B14)-1))*C14</f>
        <v>33744</v>
      </c>
      <c r="E14" s="18" t="s">
        <v>22</v>
      </c>
    </row>
    <row r="15" ht="24" customHeight="1" spans="1:5">
      <c r="A15" s="14"/>
      <c r="B15" s="15"/>
      <c r="C15" s="16"/>
      <c r="D15" s="17"/>
      <c r="E15" s="18"/>
    </row>
    <row r="16" ht="24" customHeight="1" spans="1:5">
      <c r="A16" s="19" t="s">
        <v>23</v>
      </c>
      <c r="B16" s="20"/>
      <c r="C16" s="21"/>
      <c r="D16" s="22"/>
      <c r="E16" s="23" t="s">
        <v>24</v>
      </c>
    </row>
    <row r="17" ht="24" customHeight="1" spans="1:5">
      <c r="A17" s="14"/>
      <c r="B17" s="15"/>
      <c r="C17" s="16"/>
      <c r="D17" s="17"/>
      <c r="E17" s="18"/>
    </row>
    <row r="18" ht="24" customHeight="1" spans="1:5">
      <c r="A18" s="24" t="s">
        <v>25</v>
      </c>
      <c r="B18" s="25"/>
      <c r="C18" s="26"/>
      <c r="D18" s="27">
        <f>SUM(D12:D15)</f>
        <v>80460</v>
      </c>
      <c r="E18" s="25"/>
    </row>
    <row r="19" spans="1:5">
      <c r="A19" s="4"/>
      <c r="B19" s="4"/>
      <c r="C19" s="4"/>
      <c r="D19" s="4"/>
      <c r="E19" s="4"/>
    </row>
    <row r="20" ht="15.6" spans="1:5">
      <c r="A20" s="10" t="s">
        <v>26</v>
      </c>
      <c r="B20" s="11"/>
      <c r="C20" s="11"/>
      <c r="D20" s="12"/>
      <c r="E20" s="4"/>
    </row>
    <row r="21" ht="30" customHeight="1" spans="1:5">
      <c r="A21" s="13" t="s">
        <v>27</v>
      </c>
      <c r="B21" s="13" t="s">
        <v>28</v>
      </c>
      <c r="C21" s="13" t="s">
        <v>29</v>
      </c>
      <c r="D21" s="13" t="s">
        <v>30</v>
      </c>
      <c r="E21" s="4"/>
    </row>
    <row r="22" ht="30" customHeight="1" spans="1:5">
      <c r="A22" s="14" t="s">
        <v>31</v>
      </c>
      <c r="B22" s="14" t="s">
        <v>32</v>
      </c>
      <c r="C22" s="17">
        <f>D18</f>
        <v>80460</v>
      </c>
      <c r="D22" s="14" t="s">
        <v>33</v>
      </c>
      <c r="E22" s="4"/>
    </row>
    <row r="23" ht="30" customHeight="1" spans="1:5">
      <c r="A23" s="14" t="s">
        <v>34</v>
      </c>
      <c r="B23" s="14" t="s">
        <v>35</v>
      </c>
      <c r="C23" s="16">
        <v>3000</v>
      </c>
      <c r="D23" s="14" t="s">
        <v>36</v>
      </c>
      <c r="E23" s="4"/>
    </row>
    <row r="24" ht="30" customHeight="1" spans="1:5">
      <c r="A24" s="14" t="s">
        <v>37</v>
      </c>
      <c r="B24" s="14" t="s">
        <v>38</v>
      </c>
      <c r="C24" s="16">
        <v>8900</v>
      </c>
      <c r="D24" s="14" t="s">
        <v>39</v>
      </c>
      <c r="E24" s="4"/>
    </row>
    <row r="25" ht="30" customHeight="1" spans="1:5">
      <c r="A25" s="14" t="s">
        <v>40</v>
      </c>
      <c r="B25" s="14" t="s">
        <v>41</v>
      </c>
      <c r="C25" s="16">
        <v>24750</v>
      </c>
      <c r="D25" s="14" t="s">
        <v>42</v>
      </c>
      <c r="E25" s="4"/>
    </row>
    <row r="26" ht="30" customHeight="1" spans="1:5">
      <c r="A26" s="14" t="s">
        <v>43</v>
      </c>
      <c r="B26" s="14" t="s">
        <v>44</v>
      </c>
      <c r="C26" s="16">
        <v>2400</v>
      </c>
      <c r="D26" s="14" t="s">
        <v>45</v>
      </c>
      <c r="E26" s="4"/>
    </row>
    <row r="27" ht="30" customHeight="1" spans="1:5">
      <c r="A27" s="14" t="s">
        <v>46</v>
      </c>
      <c r="B27" s="14" t="s">
        <v>35</v>
      </c>
      <c r="C27" s="16">
        <v>3600</v>
      </c>
      <c r="D27" s="14" t="s">
        <v>47</v>
      </c>
      <c r="E27" s="4"/>
    </row>
    <row r="28" ht="30" customHeight="1" spans="1:5">
      <c r="A28" s="14" t="s">
        <v>48</v>
      </c>
      <c r="B28" s="14" t="s">
        <v>35</v>
      </c>
      <c r="C28" s="16">
        <v>1200</v>
      </c>
      <c r="D28" s="14" t="s">
        <v>49</v>
      </c>
      <c r="E28" s="4"/>
    </row>
    <row r="29" ht="30" customHeight="1" spans="1:5">
      <c r="A29" s="14" t="s">
        <v>50</v>
      </c>
      <c r="B29" s="14" t="s">
        <v>51</v>
      </c>
      <c r="C29" s="16">
        <v>18700</v>
      </c>
      <c r="D29" s="14" t="s">
        <v>52</v>
      </c>
      <c r="E29" s="4"/>
    </row>
    <row r="30" ht="30" customHeight="1" spans="1:5">
      <c r="A30" s="14" t="s">
        <v>53</v>
      </c>
      <c r="B30" s="14" t="s">
        <v>54</v>
      </c>
      <c r="C30" s="16">
        <v>5500</v>
      </c>
      <c r="D30" s="14" t="s">
        <v>55</v>
      </c>
      <c r="E30" s="4"/>
    </row>
    <row r="31" ht="30" customHeight="1" spans="1:5">
      <c r="A31" s="14" t="s">
        <v>56</v>
      </c>
      <c r="B31" s="14" t="s">
        <v>35</v>
      </c>
      <c r="C31" s="16">
        <v>6600</v>
      </c>
      <c r="D31" s="14" t="s">
        <v>57</v>
      </c>
      <c r="E31" s="4"/>
    </row>
    <row r="32" ht="30" customHeight="1" spans="1:5">
      <c r="A32" s="14" t="s">
        <v>58</v>
      </c>
      <c r="B32" s="14" t="s">
        <v>35</v>
      </c>
      <c r="C32" s="16">
        <v>1620</v>
      </c>
      <c r="D32" s="14" t="s">
        <v>59</v>
      </c>
      <c r="E32" s="4"/>
    </row>
    <row r="33" ht="30" customHeight="1" spans="1:5">
      <c r="A33" s="14" t="s">
        <v>60</v>
      </c>
      <c r="B33" s="14" t="s">
        <v>61</v>
      </c>
      <c r="C33" s="16">
        <v>6000</v>
      </c>
      <c r="D33" s="14" t="s">
        <v>62</v>
      </c>
      <c r="E33" s="4"/>
    </row>
    <row r="34" ht="30" customHeight="1" spans="1:5">
      <c r="A34" s="28" t="s">
        <v>63</v>
      </c>
      <c r="B34" s="28"/>
      <c r="C34" s="29">
        <f>SUM(C22:C33)</f>
        <v>162730</v>
      </c>
      <c r="D34" s="28" t="s">
        <v>64</v>
      </c>
      <c r="E34" s="4"/>
    </row>
    <row r="35" spans="1:5">
      <c r="A35" s="4"/>
      <c r="B35" s="4"/>
      <c r="C35" s="4"/>
      <c r="D35" s="4"/>
      <c r="E35" s="4"/>
    </row>
    <row r="36" ht="15.6" spans="1:5">
      <c r="A36" s="10" t="s">
        <v>65</v>
      </c>
      <c r="B36" s="12"/>
      <c r="C36" s="4"/>
      <c r="D36" s="4"/>
      <c r="E36" s="4"/>
    </row>
    <row r="37" ht="24" customHeight="1" spans="1:5">
      <c r="A37" s="13" t="s">
        <v>66</v>
      </c>
      <c r="B37" s="13" t="s">
        <v>12</v>
      </c>
      <c r="C37" s="4"/>
      <c r="D37" s="4"/>
      <c r="E37" s="4"/>
    </row>
    <row r="38" ht="24" customHeight="1" spans="1:5">
      <c r="A38" s="14" t="s">
        <v>67</v>
      </c>
      <c r="B38" s="16">
        <v>7000</v>
      </c>
      <c r="C38" s="4"/>
      <c r="D38" s="4"/>
      <c r="E38" s="4"/>
    </row>
    <row r="39" ht="24" customHeight="1" spans="1:5">
      <c r="A39" s="14" t="s">
        <v>68</v>
      </c>
      <c r="B39" s="16">
        <v>6000</v>
      </c>
      <c r="C39" s="4"/>
      <c r="D39" s="4"/>
      <c r="E39" s="4"/>
    </row>
    <row r="40" ht="24" customHeight="1" spans="1:5">
      <c r="A40" s="14" t="s">
        <v>69</v>
      </c>
      <c r="B40" s="16">
        <v>24000</v>
      </c>
      <c r="C40" s="4"/>
      <c r="D40" s="4"/>
      <c r="E40" s="4"/>
    </row>
    <row r="41" ht="24" customHeight="1" spans="1:5">
      <c r="A41" s="14" t="s">
        <v>70</v>
      </c>
      <c r="B41" s="16">
        <v>7000</v>
      </c>
      <c r="C41" s="4"/>
      <c r="D41" s="4"/>
      <c r="E41" s="4"/>
    </row>
    <row r="42" ht="24" customHeight="1" spans="1:5">
      <c r="A42" s="14" t="s">
        <v>71</v>
      </c>
      <c r="B42" s="16">
        <v>15000</v>
      </c>
      <c r="C42" s="4"/>
      <c r="D42" s="4"/>
      <c r="E42" s="4"/>
    </row>
    <row r="43" ht="24" customHeight="1" spans="1:5">
      <c r="A43" s="14" t="s">
        <v>72</v>
      </c>
      <c r="B43" s="16">
        <v>7000</v>
      </c>
      <c r="C43" s="4"/>
      <c r="D43" s="4"/>
      <c r="E43" s="4"/>
    </row>
    <row r="44" ht="24" customHeight="1" spans="1:5">
      <c r="A44" s="14" t="s">
        <v>73</v>
      </c>
      <c r="B44" s="16">
        <v>4000</v>
      </c>
      <c r="C44" s="4"/>
      <c r="D44" s="4"/>
      <c r="E44" s="4"/>
    </row>
    <row r="45" ht="24" customHeight="1" spans="1:5">
      <c r="A45" s="14" t="s">
        <v>74</v>
      </c>
      <c r="B45" s="16">
        <v>7000</v>
      </c>
      <c r="C45" s="4"/>
      <c r="D45" s="4"/>
      <c r="E45" s="4"/>
    </row>
    <row r="46" ht="24" customHeight="1" spans="1:5">
      <c r="A46" s="14"/>
      <c r="B46" s="16"/>
      <c r="C46" s="4"/>
      <c r="D46" s="4"/>
      <c r="E46" s="4"/>
    </row>
    <row r="47" ht="24" customHeight="1" spans="1:5">
      <c r="A47" s="14"/>
      <c r="B47" s="16"/>
      <c r="C47" s="4"/>
      <c r="D47" s="4"/>
      <c r="E47" s="4"/>
    </row>
    <row r="48" ht="24" customHeight="1" spans="1:5">
      <c r="A48" s="28" t="s">
        <v>75</v>
      </c>
      <c r="B48" s="29">
        <f>SUM(B38:B47)</f>
        <v>77000</v>
      </c>
      <c r="C48" s="4"/>
      <c r="D48" s="4"/>
      <c r="E48" s="4"/>
    </row>
    <row r="49" spans="1:5">
      <c r="A49" s="4"/>
      <c r="B49" s="4"/>
      <c r="C49" s="4"/>
      <c r="D49" s="4"/>
      <c r="E49" s="4"/>
    </row>
    <row r="50" ht="15.6" spans="1:5">
      <c r="A50" s="10" t="s">
        <v>76</v>
      </c>
      <c r="B50" s="11"/>
      <c r="C50" s="11"/>
      <c r="D50" s="11"/>
      <c r="E50" s="12"/>
    </row>
    <row r="51" ht="24" customHeight="1" spans="1:5">
      <c r="A51" s="4" t="s">
        <v>77</v>
      </c>
      <c r="B51" s="4"/>
      <c r="C51" s="4"/>
      <c r="D51" s="4"/>
      <c r="E51" s="4"/>
    </row>
    <row r="52" ht="24" customHeight="1" spans="1:5">
      <c r="A52" s="4" t="s">
        <v>78</v>
      </c>
      <c r="B52" s="4"/>
      <c r="C52" s="4"/>
      <c r="D52" s="4"/>
      <c r="E52" s="4"/>
    </row>
    <row r="53" ht="24" customHeight="1" spans="1:5">
      <c r="A53" s="4" t="s">
        <v>79</v>
      </c>
      <c r="B53" s="4"/>
      <c r="C53" s="4"/>
      <c r="D53" s="4"/>
      <c r="E53" s="4"/>
    </row>
    <row r="54" ht="24" customHeight="1" spans="1:5">
      <c r="A54" s="4" t="s">
        <v>80</v>
      </c>
      <c r="B54" s="4"/>
      <c r="C54" s="4"/>
      <c r="D54" s="4"/>
      <c r="E54" s="4"/>
    </row>
    <row r="55" ht="24" customHeight="1" spans="1:5">
      <c r="A55" s="4" t="s">
        <v>81</v>
      </c>
      <c r="B55" s="4"/>
      <c r="C55" s="4"/>
      <c r="D55" s="4"/>
      <c r="E55" s="4"/>
    </row>
  </sheetData>
  <mergeCells count="11">
    <mergeCell ref="A2:E2"/>
    <mergeCell ref="A3:E3"/>
    <mergeCell ref="A10:E10"/>
    <mergeCell ref="A20:D20"/>
    <mergeCell ref="A36:B36"/>
    <mergeCell ref="A50:E50"/>
    <mergeCell ref="A51:E51"/>
    <mergeCell ref="A52:E52"/>
    <mergeCell ref="A53:E53"/>
    <mergeCell ref="A54:E54"/>
    <mergeCell ref="A55:E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Кошторис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Dron</cp:lastModifiedBy>
  <dcterms:created xsi:type="dcterms:W3CDTF">2026-09-26T15:44:26Z</dcterms:created>
  <dcterms:modified xsi:type="dcterms:W3CDTF">2026-09-26T15:44:31Z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C35FB38D4C34451FBA992B0F935CEF62_12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