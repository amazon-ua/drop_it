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равнение" sheetId="1" state="visible" r:id="rId1"/>
    <sheet name="Ведомость металла" sheetId="2" state="visible" r:id="rId2"/>
    <sheet name="Детали" sheetId="3" state="visible" r:id="rId3"/>
    <sheet name="Раскрой (хлысты 6 и 12 м)" sheetId="4" state="visible" r:id="rId4"/>
    <sheet name="Металлочерепица" sheetId="5" state="visible" r:id="rId5"/>
    <sheet name="Пластины" sheetId="6" state="visible" r:id="rId6"/>
    <sheet name="Проверки" sheetId="7" state="visible" r:id="rId7"/>
    <sheet name="Варианты схем" sheetId="8" state="visible" r:id="rId8"/>
    <sheet name="Нагрузки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4" customWidth="1" min="3" max="3"/>
    <col width="12" customWidth="1" min="4" max="4"/>
    <col width="34" customWidth="1" min="5" max="5"/>
  </cols>
  <sheetData>
    <row r="1">
      <c r="A1" s="1" t="inlineStr">
        <is>
          <t>Статья</t>
        </is>
      </c>
      <c r="B1" s="1" t="inlineStr">
        <is>
          <t>Было (черновик), грн</t>
        </is>
      </c>
      <c r="C1" s="1" t="inlineStr">
        <is>
          <t>Стало, грн</t>
        </is>
      </c>
      <c r="D1" s="1" t="inlineStr">
        <is>
          <t>Δ, грн</t>
        </is>
      </c>
      <c r="E1" s="1" t="inlineStr">
        <is>
          <t>Как пересчитано</t>
        </is>
      </c>
    </row>
    <row r="2">
      <c r="A2" t="inlineStr">
        <is>
          <t>Профильные трубы (по метражу, прайс)</t>
        </is>
      </c>
      <c r="B2" t="n">
        <v>75812</v>
      </c>
      <c r="C2" t="n">
        <v>45525</v>
      </c>
      <c r="D2">
        <f>C2-B2</f>
        <v/>
      </c>
      <c r="E2" t="inlineStr">
        <is>
          <t>по ведомости</t>
        </is>
      </c>
    </row>
    <row r="3">
      <c r="A3" t="inlineStr">
        <is>
          <t>Пластины (фасонки, крышки колонн)</t>
        </is>
      </c>
      <c r="B3" t="n">
        <v>1647</v>
      </c>
      <c r="C3" t="n">
        <v>1658</v>
      </c>
      <c r="D3">
        <f>C3-B3</f>
        <v/>
      </c>
      <c r="E3" t="inlineStr">
        <is>
          <t>по ведомости</t>
        </is>
      </c>
    </row>
    <row r="4">
      <c r="A4" t="inlineStr">
        <is>
          <t>Арматура для лунок</t>
        </is>
      </c>
      <c r="B4" t="n">
        <v>3000</v>
      </c>
      <c r="C4" t="n">
        <v>3000</v>
      </c>
      <c r="D4">
        <f>C4-B4</f>
        <v/>
      </c>
      <c r="E4" t="inlineStr">
        <is>
          <t>без изменений</t>
        </is>
      </c>
    </row>
    <row r="5">
      <c r="A5" t="inlineStr">
        <is>
          <t>Бетон В20 для лунок</t>
        </is>
      </c>
      <c r="B5" t="n">
        <v>8900</v>
      </c>
      <c r="C5" t="n">
        <v>8900</v>
      </c>
      <c r="D5">
        <f>C5-B5</f>
        <v/>
      </c>
      <c r="E5" t="inlineStr">
        <is>
          <t>без изменений</t>
        </is>
      </c>
    </row>
    <row r="6">
      <c r="A6" t="inlineStr">
        <is>
          <t>Металлочерепица</t>
        </is>
      </c>
      <c r="B6" t="n">
        <v>24750</v>
      </c>
      <c r="C6" t="n">
        <v>24750</v>
      </c>
      <c r="D6">
        <f>C6-B6</f>
        <v/>
      </c>
      <c r="E6" t="inlineStr">
        <is>
          <t>вне оптимизации (без изменений)</t>
        </is>
      </c>
    </row>
    <row r="7">
      <c r="A7" t="inlineStr">
        <is>
          <t>Конёк</t>
        </is>
      </c>
      <c r="B7" t="n">
        <v>2400</v>
      </c>
      <c r="C7" t="n">
        <v>2400</v>
      </c>
      <c r="D7">
        <f>C7-B7</f>
        <v/>
      </c>
      <c r="E7" t="inlineStr">
        <is>
          <t>вне оптимизации (без изменений)</t>
        </is>
      </c>
    </row>
    <row r="8">
      <c r="A8" t="inlineStr">
        <is>
          <t>Торцевые планки</t>
        </is>
      </c>
      <c r="B8" t="n">
        <v>3600</v>
      </c>
      <c r="C8" t="n">
        <v>3600</v>
      </c>
      <c r="D8">
        <f>C8-B8</f>
        <v/>
      </c>
      <c r="E8" t="inlineStr">
        <is>
          <t>вне оптимизации (без изменений)</t>
        </is>
      </c>
    </row>
    <row r="9">
      <c r="A9" t="inlineStr">
        <is>
          <t>Саморезы и уплотнитель</t>
        </is>
      </c>
      <c r="B9" t="n">
        <v>1200</v>
      </c>
      <c r="C9" t="n">
        <v>1200</v>
      </c>
      <c r="D9">
        <f>C9-B9</f>
        <v/>
      </c>
      <c r="E9" t="inlineStr">
        <is>
          <t>вне оптимизации (без изменений)</t>
        </is>
      </c>
    </row>
    <row r="10">
      <c r="A10" t="inlineStr">
        <is>
          <t>Водосточная система</t>
        </is>
      </c>
      <c r="B10" t="n">
        <v>18700</v>
      </c>
      <c r="C10" t="n">
        <v>18700</v>
      </c>
      <c r="D10">
        <f>C10-B10</f>
        <v/>
      </c>
      <c r="E10" t="inlineStr">
        <is>
          <t>вне оптимизации (без изменений)</t>
        </is>
      </c>
    </row>
    <row r="11">
      <c r="A11" t="inlineStr">
        <is>
          <t>Грунт-эмаль (окраска)</t>
        </is>
      </c>
      <c r="B11" t="n">
        <v>5500</v>
      </c>
      <c r="C11" t="n">
        <v>3911</v>
      </c>
      <c r="D11">
        <f>C11-B11</f>
        <v/>
      </c>
      <c r="E11" t="inlineStr">
        <is>
          <t>∝ площади окраски</t>
        </is>
      </c>
    </row>
    <row r="12">
      <c r="A12" t="inlineStr">
        <is>
          <t>Сварочные расходники, круги, свёрла</t>
        </is>
      </c>
      <c r="B12" t="n">
        <v>6600</v>
      </c>
      <c r="C12" t="n">
        <v>3862</v>
      </c>
      <c r="D12">
        <f>C12-B12</f>
        <v/>
      </c>
      <c r="E12" t="inlineStr">
        <is>
          <t>∝ длине швов</t>
        </is>
      </c>
    </row>
    <row r="13">
      <c r="A13" t="inlineStr">
        <is>
          <t>Мелкий металл, непредвиденное</t>
        </is>
      </c>
      <c r="B13" t="n">
        <v>1620</v>
      </c>
      <c r="C13" t="n">
        <v>1620</v>
      </c>
      <c r="D13">
        <f>C13-B13</f>
        <v/>
      </c>
      <c r="E13" t="inlineStr">
        <is>
          <t>без изменений</t>
        </is>
      </c>
    </row>
    <row r="14">
      <c r="A14" t="inlineStr">
        <is>
          <t>Доставка</t>
        </is>
      </c>
      <c r="B14" t="n">
        <v>6000</v>
      </c>
      <c r="C14" t="n">
        <v>6000</v>
      </c>
      <c r="D14">
        <f>C14-B14</f>
        <v/>
      </c>
      <c r="E14" t="inlineStr">
        <is>
          <t>вне оптимизации (без изменений)</t>
        </is>
      </c>
    </row>
    <row r="15">
      <c r="A15" t="inlineStr">
        <is>
          <t>Работа: копка лунок</t>
        </is>
      </c>
      <c r="B15" t="n">
        <v>7000</v>
      </c>
      <c r="C15" t="n">
        <v>7000</v>
      </c>
      <c r="D15">
        <f>C15-B15</f>
        <v/>
      </c>
      <c r="E15" t="inlineStr">
        <is>
          <t>без изменений</t>
        </is>
      </c>
    </row>
    <row r="16">
      <c r="A16" t="inlineStr">
        <is>
          <t>Работа: армирование и бетонирование</t>
        </is>
      </c>
      <c r="B16" t="n">
        <v>6000</v>
      </c>
      <c r="C16" t="n">
        <v>6000</v>
      </c>
      <c r="D16">
        <f>C16-B16</f>
        <v/>
      </c>
      <c r="E16" t="inlineStr">
        <is>
          <t>без изменений</t>
        </is>
      </c>
    </row>
    <row r="17">
      <c r="A17" t="inlineStr">
        <is>
          <t>Работа: изготовление ферм и каркаса</t>
        </is>
      </c>
      <c r="B17" t="n">
        <v>24000</v>
      </c>
      <c r="C17" t="n">
        <v>13913</v>
      </c>
      <c r="D17">
        <f>C17-B17</f>
        <v/>
      </c>
      <c r="E17" t="inlineStr">
        <is>
          <t>∝ трудоёмкости</t>
        </is>
      </c>
    </row>
    <row r="18">
      <c r="A18" t="inlineStr">
        <is>
          <t>Работа: окраска</t>
        </is>
      </c>
      <c r="B18" t="n">
        <v>7000</v>
      </c>
      <c r="C18" t="n">
        <v>4977</v>
      </c>
      <c r="D18">
        <f>C18-B18</f>
        <v/>
      </c>
      <c r="E18" t="inlineStr">
        <is>
          <t>∝ площади окраски</t>
        </is>
      </c>
    </row>
    <row r="19">
      <c r="A19" t="inlineStr">
        <is>
          <t>Работа: монтаж каркаса</t>
        </is>
      </c>
      <c r="B19" t="n">
        <v>15000</v>
      </c>
      <c r="C19" t="n">
        <v>8695</v>
      </c>
      <c r="D19">
        <f>C19-B19</f>
        <v/>
      </c>
      <c r="E19" t="inlineStr">
        <is>
          <t>∝ трудоёмкости</t>
        </is>
      </c>
    </row>
    <row r="20">
      <c r="A20" t="inlineStr">
        <is>
          <t>Работа: монтаж кровли</t>
        </is>
      </c>
      <c r="B20" t="n">
        <v>7000</v>
      </c>
      <c r="C20" t="n">
        <v>7000</v>
      </c>
      <c r="D20">
        <f>C20-B20</f>
        <v/>
      </c>
      <c r="E20" t="inlineStr">
        <is>
          <t>вне оптимизации (без изменений)</t>
        </is>
      </c>
    </row>
    <row r="21">
      <c r="A21" t="inlineStr">
        <is>
          <t>Работа: водосток</t>
        </is>
      </c>
      <c r="B21" t="n">
        <v>4000</v>
      </c>
      <c r="C21" t="n">
        <v>4000</v>
      </c>
      <c r="D21">
        <f>C21-B21</f>
        <v/>
      </c>
      <c r="E21" t="inlineStr">
        <is>
          <t>вне оптимизации (без изменений)</t>
        </is>
      </c>
    </row>
    <row r="22">
      <c r="A22" t="inlineStr">
        <is>
          <t>Работа: доп. изготовление и монтаж</t>
        </is>
      </c>
      <c r="B22" t="n">
        <v>7000</v>
      </c>
      <c r="C22" t="n">
        <v>4058</v>
      </c>
      <c r="D22">
        <f>C22-B22</f>
        <v/>
      </c>
      <c r="E22" t="inlineStr">
        <is>
          <t>∝ трудоёмкости</t>
        </is>
      </c>
    </row>
    <row r="23">
      <c r="A23" s="2" t="inlineStr">
        <is>
          <t>ИТОГО</t>
        </is>
      </c>
      <c r="B23" s="2">
        <f>SUM(B2:B22)</f>
        <v/>
      </c>
      <c r="C23" s="2">
        <f>SUM(C2:C22)</f>
        <v/>
      </c>
      <c r="D23" s="2">
        <f>SUM(D2:D22)</f>
        <v/>
      </c>
    </row>
    <row r="25">
      <c r="A25" t="inlineStr">
        <is>
          <t>Смета xlsx (исходная, для справки): итог 239 730 грн, трубы 80 460 грн.</t>
        </is>
      </c>
    </row>
    <row r="26">
      <c r="A26" t="inlineStr">
        <is>
          <t>Масса металла: было 1226 кг, стало 763 кг; площадь окраски 57.6 → 40.9 м²; швы 37.6 → 22.0 м; деталей 84 → 52.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0" customWidth="1" min="4" max="4"/>
    <col width="10" customWidth="1" min="5" max="5"/>
    <col width="11" customWidth="1" min="6" max="6"/>
    <col width="14" customWidth="1" min="7" max="7"/>
  </cols>
  <sheetData>
    <row r="1">
      <c r="A1" s="1" t="inlineStr">
        <is>
          <t>Профиль</t>
        </is>
      </c>
      <c r="B1" s="1" t="inlineStr">
        <is>
          <t>Назначение</t>
        </is>
      </c>
      <c r="C1" s="1" t="inlineStr">
        <is>
          <t>Длина, м (с пропилами)</t>
        </is>
      </c>
      <c r="D1" s="1" t="inlineStr">
        <is>
          <t>Заготовок</t>
        </is>
      </c>
      <c r="E1" s="1" t="inlineStr">
        <is>
          <t>Масса, кг</t>
        </is>
      </c>
      <c r="F1" s="1" t="inlineStr">
        <is>
          <t>Цена, грн/м</t>
        </is>
      </c>
      <c r="G1" s="1" t="inlineStr">
        <is>
          <t>Стоимость, грн</t>
        </is>
      </c>
    </row>
    <row r="2">
      <c r="A2" t="inlineStr">
        <is>
          <t>□35×35×2</t>
        </is>
      </c>
      <c r="B2" t="inlineStr">
        <is>
          <t>Обрешётка</t>
        </is>
      </c>
      <c r="C2" t="n">
        <v>153.63</v>
      </c>
      <c r="D2" t="n">
        <v>22</v>
      </c>
      <c r="E2" t="n">
        <v>306</v>
      </c>
      <c r="F2" t="n">
        <v>127</v>
      </c>
      <c r="G2" t="n">
        <v>19511</v>
      </c>
    </row>
    <row r="3">
      <c r="A3" t="inlineStr">
        <is>
          <t>□100×60×3</t>
        </is>
      </c>
      <c r="B3" t="inlineStr">
        <is>
          <t>Стропила</t>
        </is>
      </c>
      <c r="C3" t="n">
        <v>20.75</v>
      </c>
      <c r="D3" t="n">
        <v>6</v>
      </c>
      <c r="E3" t="n">
        <v>146.7</v>
      </c>
      <c r="F3" t="n">
        <v>428</v>
      </c>
      <c r="G3" t="n">
        <v>8879</v>
      </c>
    </row>
    <row r="4">
      <c r="A4" t="inlineStr">
        <is>
          <t>□100×60×4</t>
        </is>
      </c>
      <c r="B4" t="inlineStr">
        <is>
          <t>Колонны</t>
        </is>
      </c>
      <c r="C4" t="n">
        <v>15.65</v>
      </c>
      <c r="D4" t="n">
        <v>4</v>
      </c>
      <c r="E4" t="n">
        <v>144.4</v>
      </c>
      <c r="F4" t="n">
        <v>540</v>
      </c>
      <c r="G4" t="n">
        <v>8453</v>
      </c>
    </row>
    <row r="5">
      <c r="A5" t="inlineStr">
        <is>
          <t>□60×60×2</t>
        </is>
      </c>
      <c r="B5" t="inlineStr">
        <is>
          <t>Затяжки, Нижний пояс боковой фермы, Раскосы боковой фермы</t>
        </is>
      </c>
      <c r="C5" t="n">
        <v>35.41</v>
      </c>
      <c r="D5" t="n">
        <v>9</v>
      </c>
      <c r="E5" t="n">
        <v>126.1</v>
      </c>
      <c r="F5" t="n">
        <v>226</v>
      </c>
      <c r="G5" t="n">
        <v>8003</v>
      </c>
    </row>
    <row r="6">
      <c r="A6" t="inlineStr">
        <is>
          <t>□20×20×2</t>
        </is>
      </c>
      <c r="B6" t="inlineStr">
        <is>
          <t>Подвеска (стойка у конька), Подкосы фермы</t>
        </is>
      </c>
      <c r="C6" t="n">
        <v>8.69</v>
      </c>
      <c r="D6" t="n">
        <v>9</v>
      </c>
      <c r="E6" t="n">
        <v>9.1</v>
      </c>
      <c r="F6" t="n">
        <v>67.40000000000001</v>
      </c>
      <c r="G6" t="n">
        <v>586</v>
      </c>
    </row>
    <row r="7">
      <c r="A7" t="inlineStr">
        <is>
          <t>□60×60×3</t>
        </is>
      </c>
      <c r="B7" t="inlineStr">
        <is>
          <t>Стойка-вставка средней рамы</t>
        </is>
      </c>
      <c r="C7" t="n">
        <v>0.3</v>
      </c>
      <c r="D7" t="n">
        <v>2</v>
      </c>
      <c r="E7" t="n">
        <v>1.5</v>
      </c>
      <c r="F7" t="n">
        <v>315</v>
      </c>
      <c r="G7" t="n">
        <v>94</v>
      </c>
    </row>
    <row r="8">
      <c r="A8" t="inlineStr">
        <is>
          <t>ИТОГО трубы</t>
        </is>
      </c>
      <c r="C8">
        <f>SUM(C2:C7)</f>
        <v/>
      </c>
      <c r="E8">
        <f>SUM(E2:E7)</f>
        <v/>
      </c>
      <c r="G8">
        <f>SUM(G2:G7)</f>
        <v/>
      </c>
    </row>
    <row r="9">
      <c r="A9" t="inlineStr">
        <is>
          <t>Пластины (фасонки, крышки колонн): 30.1 кг × 55 грн/кг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8" customWidth="1" min="4" max="4"/>
    <col width="10" customWidth="1" min="5" max="5"/>
    <col width="70" customWidth="1" min="6" max="6"/>
  </cols>
  <sheetData>
    <row r="1">
      <c r="A1" s="1" t="inlineStr">
        <is>
          <t>Заготовка</t>
        </is>
      </c>
      <c r="B1" s="1" t="inlineStr">
        <is>
          <t>Сечение</t>
        </is>
      </c>
      <c r="C1" s="1" t="inlineStr">
        <is>
          <t>Длина реза, 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Торцы</t>
        </is>
      </c>
    </row>
    <row r="2">
      <c r="A2" t="inlineStr">
        <is>
          <t>Колонна Л1</t>
        </is>
      </c>
      <c r="B2" t="inlineStr">
        <is>
          <t>□100×60×4</t>
        </is>
      </c>
      <c r="C2" t="n">
        <v>3.803</v>
      </c>
      <c r="D2" t="n">
        <v>1</v>
      </c>
      <c r="E2" t="n">
        <v>35.1</v>
      </c>
      <c r="F2" t="inlineStr">
        <is>
          <t>низ — прямой рез (+ заглушка), верх — под 12° по низу стропила; в бетоне 0.70 м</t>
        </is>
      </c>
    </row>
    <row r="3">
      <c r="A3" t="inlineStr">
        <is>
          <t>Колонна Л3</t>
        </is>
      </c>
      <c r="B3" t="inlineStr">
        <is>
          <t>□100×60×4</t>
        </is>
      </c>
      <c r="C3" t="n">
        <v>3.993</v>
      </c>
      <c r="D3" t="n">
        <v>1</v>
      </c>
      <c r="E3" t="n">
        <v>36.8</v>
      </c>
      <c r="F3" t="inlineStr">
        <is>
          <t>низ — прямой рез (+ заглушка), верх — под 12° по низу стропила; в бетоне 0.70 м</t>
        </is>
      </c>
    </row>
    <row r="4">
      <c r="A4" t="inlineStr">
        <is>
          <t>Колонна П1</t>
        </is>
      </c>
      <c r="B4" t="inlineStr">
        <is>
          <t>□100×60×4</t>
        </is>
      </c>
      <c r="C4" t="n">
        <v>3.833</v>
      </c>
      <c r="D4" t="n">
        <v>1</v>
      </c>
      <c r="E4" t="n">
        <v>35.3</v>
      </c>
      <c r="F4" t="inlineStr">
        <is>
          <t>низ — прямой рез (+ заглушка), верх — под 12° по низу стропила; в бетоне 0.70 м</t>
        </is>
      </c>
    </row>
    <row r="5">
      <c r="A5" t="inlineStr">
        <is>
          <t>Колонна П3</t>
        </is>
      </c>
      <c r="B5" t="inlineStr">
        <is>
          <t>□100×60×4</t>
        </is>
      </c>
      <c r="C5" t="n">
        <v>4.013</v>
      </c>
      <c r="D5" t="n">
        <v>1</v>
      </c>
      <c r="E5" t="n">
        <v>37</v>
      </c>
      <c r="F5" t="inlineStr">
        <is>
          <t>низ — прямой рез (+ заглушка), верх — под 12° по низу стропила; в бетоне 0.70 м</t>
        </is>
      </c>
    </row>
    <row r="6">
      <c r="A6" t="inlineStr">
        <is>
          <t>Стропило длинное (свес 0.90)</t>
        </is>
      </c>
      <c r="B6" t="inlineStr">
        <is>
          <t>□100×60×3</t>
        </is>
      </c>
      <c r="C6" t="n">
        <v>3.71</v>
      </c>
      <c r="D6" t="n">
        <v>3</v>
      </c>
      <c r="E6" t="n">
        <v>78.7</v>
      </c>
      <c r="F6" t="inlineStr">
        <is>
          <t>у конька — вертикальный рез (78° к оси), у карниза — перпендикулярно оси</t>
        </is>
      </c>
    </row>
    <row r="7">
      <c r="A7" t="inlineStr">
        <is>
          <t>Стропило короткое (свес 0.40)</t>
        </is>
      </c>
      <c r="B7" t="inlineStr">
        <is>
          <t>□100×60×3</t>
        </is>
      </c>
      <c r="C7" t="n">
        <v>3.199</v>
      </c>
      <c r="D7" t="n">
        <v>3</v>
      </c>
      <c r="E7" t="n">
        <v>67.90000000000001</v>
      </c>
      <c r="F7" t="inlineStr">
        <is>
          <t>у конька — вертикальный рез (78° к оси), у карниза — перпендикулярно оси</t>
        </is>
      </c>
    </row>
    <row r="8">
      <c r="A8" t="inlineStr">
        <is>
          <t>Затяжка крайней рамы</t>
        </is>
      </c>
      <c r="B8" t="inlineStr">
        <is>
          <t>□60×60×2</t>
        </is>
      </c>
      <c r="C8" t="n">
        <v>5.357</v>
      </c>
      <c r="D8" t="n">
        <v>2</v>
      </c>
      <c r="E8" t="n">
        <v>38.2</v>
      </c>
      <c r="F8" t="inlineStr">
        <is>
          <t>оба торца — прямые, между гранями колонн</t>
        </is>
      </c>
    </row>
    <row r="9">
      <c r="A9" t="inlineStr">
        <is>
          <t>Затяжка средней рамы</t>
        </is>
      </c>
      <c r="B9" t="inlineStr">
        <is>
          <t>□60×60×2</t>
        </is>
      </c>
      <c r="C9" t="n">
        <v>5.397</v>
      </c>
      <c r="D9" t="n">
        <v>1</v>
      </c>
      <c r="E9" t="n">
        <v>19.2</v>
      </c>
      <c r="F9" t="inlineStr">
        <is>
          <t>оба торца — прямые, между гранями стоек</t>
        </is>
      </c>
    </row>
    <row r="10">
      <c r="A10" t="inlineStr">
        <is>
          <t>Подвеска у конька</t>
        </is>
      </c>
      <c r="B10" t="inlineStr">
        <is>
          <t>□20×20×2</t>
        </is>
      </c>
      <c r="C10" t="n">
        <v>0.598</v>
      </c>
      <c r="D10" t="n">
        <v>3</v>
      </c>
      <c r="E10" t="n">
        <v>1.9</v>
      </c>
      <c r="F10" t="inlineStr">
        <is>
          <t>низ — прямой, верх — «домиком» 2×12° под стропила</t>
        </is>
      </c>
    </row>
    <row r="11">
      <c r="A11" t="inlineStr">
        <is>
          <t>Подкос фермы</t>
        </is>
      </c>
      <c r="B11" t="inlineStr">
        <is>
          <t>□20×20×2</t>
        </is>
      </c>
      <c r="C11" t="n">
        <v>0.95</v>
      </c>
      <c r="D11" t="n">
        <v>6</v>
      </c>
      <c r="E11" t="n">
        <v>6</v>
      </c>
      <c r="F11" t="inlineStr">
        <is>
          <t>низ — под 25° к оси (на затяжку у подвески), верх — под 37° (на стропило)</t>
        </is>
      </c>
    </row>
    <row r="12">
      <c r="A12" t="inlineStr">
        <is>
          <t>Обрешётина цельная</t>
        </is>
      </c>
      <c r="B12" t="inlineStr">
        <is>
          <t>□35×35×2</t>
        </is>
      </c>
      <c r="C12" t="n">
        <v>6.98</v>
      </c>
      <c r="D12" t="n">
        <v>22</v>
      </c>
      <c r="E12" t="n">
        <v>305.8</v>
      </c>
      <c r="F12" t="inlineStr">
        <is>
          <t>торцы прямые; из хлыста 12 м, без стыка</t>
        </is>
      </c>
    </row>
    <row r="13">
      <c r="A13" t="inlineStr">
        <is>
          <t>Раскос боковой фермы</t>
        </is>
      </c>
      <c r="B13" t="inlineStr">
        <is>
          <t>□60×60×2</t>
        </is>
      </c>
      <c r="C13" t="n">
        <v>2.403</v>
      </c>
      <c r="D13" t="n">
        <v>4</v>
      </c>
      <c r="E13" t="n">
        <v>34.2</v>
      </c>
      <c r="F13" t="inlineStr">
        <is>
          <t>оба торца — горизонтальные резы под 20.7° к оси (рез по грани 170 мм): низ — на пояс, верх — под столик</t>
        </is>
      </c>
    </row>
    <row r="14">
      <c r="A14" t="inlineStr">
        <is>
          <t>Нижний пояс боковой фермы</t>
        </is>
      </c>
      <c r="B14" t="inlineStr">
        <is>
          <t>□60×60×2</t>
        </is>
      </c>
      <c r="C14" t="n">
        <v>4.54</v>
      </c>
      <c r="D14" t="n">
        <v>2</v>
      </c>
      <c r="E14" t="n">
        <v>32.3</v>
      </c>
      <c r="F14" t="inlineStr">
        <is>
          <t>оба торца — прямые; по фактическому расстоянию между гранями колонн</t>
        </is>
      </c>
    </row>
    <row r="15">
      <c r="A15" t="inlineStr">
        <is>
          <t>Стойка-вставка</t>
        </is>
      </c>
      <c r="B15" t="inlineStr">
        <is>
          <t>□60×60×3</t>
        </is>
      </c>
      <c r="C15" t="n">
        <v>0.113</v>
      </c>
      <c r="D15" t="n">
        <v>2</v>
      </c>
      <c r="E15" t="n">
        <v>1.2</v>
      </c>
      <c r="F15" t="inlineStr">
        <is>
          <t>низ — прямой (встаёт на столик фермы), верх — под 12°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4" customWidth="1" min="3" max="3"/>
    <col width="60" customWidth="1" min="4" max="4"/>
    <col width="10" customWidth="1" min="5" max="5"/>
  </cols>
  <sheetData>
    <row r="1">
      <c r="A1" s="1" t="inlineStr">
        <is>
          <t>Профиль</t>
        </is>
      </c>
      <c r="B1" s="1" t="inlineStr">
        <is>
          <t>Хлыст №</t>
        </is>
      </c>
      <c r="C1" s="1" t="inlineStr">
        <is>
          <t>Резы, м</t>
        </is>
      </c>
      <c r="D1" s="1" t="inlineStr">
        <is>
          <t>Заготовки</t>
        </is>
      </c>
      <c r="E1" s="1" t="inlineStr">
        <is>
          <t>Остаток, м</t>
        </is>
      </c>
    </row>
    <row r="2">
      <c r="A2" t="inlineStr">
        <is>
          <t>□100×60×4</t>
        </is>
      </c>
      <c r="B2" t="inlineStr">
        <is>
          <t>1 (12 м)</t>
        </is>
      </c>
      <c r="C2" t="inlineStr">
        <is>
          <t>4.013 + 3.993 + 3.833</t>
        </is>
      </c>
      <c r="D2" t="inlineStr">
        <is>
          <t>Колонна Л3; Колонна П1; Колонна П3</t>
        </is>
      </c>
      <c r="E2" t="n">
        <v>0.152</v>
      </c>
    </row>
    <row r="3">
      <c r="A3" t="inlineStr">
        <is>
          <t>□100×60×4</t>
        </is>
      </c>
      <c r="B3" t="inlineStr">
        <is>
          <t>2 (6 м)</t>
        </is>
      </c>
      <c r="C3" t="inlineStr">
        <is>
          <t>3.803</t>
        </is>
      </c>
      <c r="D3" t="inlineStr">
        <is>
          <t>Колонна Л1</t>
        </is>
      </c>
      <c r="E3" t="n">
        <v>2.194</v>
      </c>
    </row>
    <row r="4">
      <c r="A4" t="inlineStr">
        <is>
          <t>□100×60×3</t>
        </is>
      </c>
      <c r="B4" t="inlineStr">
        <is>
          <t>1 (12 м)</t>
        </is>
      </c>
      <c r="C4" t="inlineStr">
        <is>
          <t>3.710 + 3.710 + 3.710</t>
        </is>
      </c>
      <c r="D4" t="inlineStr">
        <is>
          <t>Стропило длинное (свес 0.90)</t>
        </is>
      </c>
      <c r="E4" t="n">
        <v>0.861</v>
      </c>
    </row>
    <row r="5">
      <c r="A5" t="inlineStr">
        <is>
          <t>□100×60×3</t>
        </is>
      </c>
      <c r="B5" t="inlineStr">
        <is>
          <t>2 (12 м)</t>
        </is>
      </c>
      <c r="C5" t="inlineStr">
        <is>
          <t>3.199 + 3.199 + 3.199</t>
        </is>
      </c>
      <c r="D5" t="inlineStr">
        <is>
          <t>Стропило короткое (свес 0.40)</t>
        </is>
      </c>
      <c r="E5" t="n">
        <v>2.394</v>
      </c>
    </row>
    <row r="6">
      <c r="A6" t="inlineStr">
        <is>
          <t>□60×60×2</t>
        </is>
      </c>
      <c r="B6" t="inlineStr">
        <is>
          <t>1 (12 м)</t>
        </is>
      </c>
      <c r="C6" t="inlineStr">
        <is>
          <t>5.397 + 5.357</t>
        </is>
      </c>
      <c r="D6" t="inlineStr">
        <is>
          <t>Затяжка крайней рамы; Затяжка средней рамы</t>
        </is>
      </c>
      <c r="E6" t="n">
        <v>1.24</v>
      </c>
    </row>
    <row r="7">
      <c r="A7" t="inlineStr">
        <is>
          <t>□60×60×2</t>
        </is>
      </c>
      <c r="B7" t="inlineStr">
        <is>
          <t>2 (12 м)</t>
        </is>
      </c>
      <c r="C7" t="inlineStr">
        <is>
          <t>5.357 + 4.540</t>
        </is>
      </c>
      <c r="D7" t="inlineStr">
        <is>
          <t>Затяжка крайней рамы; Нижний пояс боковой фермы</t>
        </is>
      </c>
      <c r="E7" t="n">
        <v>2.097</v>
      </c>
    </row>
    <row r="8">
      <c r="A8" t="inlineStr">
        <is>
          <t>□60×60×2</t>
        </is>
      </c>
      <c r="B8" t="inlineStr">
        <is>
          <t>3 (12 м)</t>
        </is>
      </c>
      <c r="C8" t="inlineStr">
        <is>
          <t>4.540 + 2.403 + 2.403 + 2.403</t>
        </is>
      </c>
      <c r="D8" t="inlineStr">
        <is>
          <t>Нижний пояс боковой фермы; Раскос боковой фермы</t>
        </is>
      </c>
      <c r="E8" t="n">
        <v>0.239</v>
      </c>
    </row>
    <row r="9">
      <c r="A9" t="inlineStr">
        <is>
          <t>□60×60×2</t>
        </is>
      </c>
      <c r="B9" t="inlineStr">
        <is>
          <t>4 (6 м)</t>
        </is>
      </c>
      <c r="C9" t="inlineStr">
        <is>
          <t>2.403</t>
        </is>
      </c>
      <c r="D9" t="inlineStr">
        <is>
          <t>Раскос боковой фермы</t>
        </is>
      </c>
      <c r="E9" t="n">
        <v>3.594</v>
      </c>
    </row>
    <row r="10">
      <c r="A10" t="inlineStr">
        <is>
          <t>□20×20×2</t>
        </is>
      </c>
      <c r="B10" t="inlineStr">
        <is>
          <t>1 (12 м)</t>
        </is>
      </c>
      <c r="C10" t="inlineStr">
        <is>
          <t>0.950 + 0.950 + 0.950 + 0.950 + 0.950 + 0.950 + 0.598 + 0.598 + 0.598</t>
        </is>
      </c>
      <c r="D10" t="inlineStr">
        <is>
          <t>Подвеска у конька; Подкос фермы</t>
        </is>
      </c>
      <c r="E10" t="n">
        <v>4.479</v>
      </c>
    </row>
    <row r="11">
      <c r="A11" t="inlineStr">
        <is>
          <t>□35×35×2</t>
        </is>
      </c>
      <c r="B11" t="inlineStr">
        <is>
          <t>1 (12 м)</t>
        </is>
      </c>
      <c r="C11" t="inlineStr">
        <is>
          <t>5.780 + 5.780</t>
        </is>
      </c>
      <c r="D11" t="inlineStr">
        <is>
          <t>Обрешётина, часть 1 (край → рама 3)</t>
        </is>
      </c>
      <c r="E11" t="n">
        <v>0.434</v>
      </c>
    </row>
    <row r="12">
      <c r="A12" t="inlineStr">
        <is>
          <t>□35×35×2</t>
        </is>
      </c>
      <c r="B12" t="inlineStr">
        <is>
          <t>2 (12 м)</t>
        </is>
      </c>
      <c r="C12" t="inlineStr">
        <is>
          <t>5.780 + 5.780</t>
        </is>
      </c>
      <c r="D12" t="inlineStr">
        <is>
          <t>Обрешётина, часть 1 (край → рама 3)</t>
        </is>
      </c>
      <c r="E12" t="n">
        <v>0.434</v>
      </c>
    </row>
    <row r="13">
      <c r="A13" t="inlineStr">
        <is>
          <t>□35×35×2</t>
        </is>
      </c>
      <c r="B13" t="inlineStr">
        <is>
          <t>3 (12 м)</t>
        </is>
      </c>
      <c r="C13" t="inlineStr">
        <is>
          <t>5.780 + 5.780</t>
        </is>
      </c>
      <c r="D13" t="inlineStr">
        <is>
          <t>Обрешётина, часть 1 (край → рама 3)</t>
        </is>
      </c>
      <c r="E13" t="n">
        <v>0.434</v>
      </c>
    </row>
    <row r="14">
      <c r="A14" t="inlineStr">
        <is>
          <t>□35×35×2</t>
        </is>
      </c>
      <c r="B14" t="inlineStr">
        <is>
          <t>4 (12 м)</t>
        </is>
      </c>
      <c r="C14" t="inlineStr">
        <is>
          <t>5.780 + 5.780</t>
        </is>
      </c>
      <c r="D14" t="inlineStr">
        <is>
          <t>Обрешётина, часть 1 (край → рама 3)</t>
        </is>
      </c>
      <c r="E14" t="n">
        <v>0.434</v>
      </c>
    </row>
    <row r="15">
      <c r="A15" t="inlineStr">
        <is>
          <t>□35×35×2</t>
        </is>
      </c>
      <c r="B15" t="inlineStr">
        <is>
          <t>5 (12 м)</t>
        </is>
      </c>
      <c r="C15" t="inlineStr">
        <is>
          <t>5.780 + 5.780</t>
        </is>
      </c>
      <c r="D15" t="inlineStr">
        <is>
          <t>Обрешётина, часть 1 (край → рама 3)</t>
        </is>
      </c>
      <c r="E15" t="n">
        <v>0.434</v>
      </c>
    </row>
    <row r="16">
      <c r="A16" t="inlineStr">
        <is>
          <t>□35×35×2</t>
        </is>
      </c>
      <c r="B16" t="inlineStr">
        <is>
          <t>6 (12 м)</t>
        </is>
      </c>
      <c r="C16" t="inlineStr">
        <is>
          <t>5.780 + 5.780</t>
        </is>
      </c>
      <c r="D16" t="inlineStr">
        <is>
          <t>Обрешётина, часть 1 (край → рама 3)</t>
        </is>
      </c>
      <c r="E16" t="n">
        <v>0.434</v>
      </c>
    </row>
    <row r="17">
      <c r="A17" t="inlineStr">
        <is>
          <t>□35×35×2</t>
        </is>
      </c>
      <c r="B17" t="inlineStr">
        <is>
          <t>7 (12 м)</t>
        </is>
      </c>
      <c r="C17" t="inlineStr">
        <is>
          <t>5.780 + 5.780</t>
        </is>
      </c>
      <c r="D17" t="inlineStr">
        <is>
          <t>Обрешётина, часть 1 (край → рама 3)</t>
        </is>
      </c>
      <c r="E17" t="n">
        <v>0.434</v>
      </c>
    </row>
    <row r="18">
      <c r="A18" t="inlineStr">
        <is>
          <t>□35×35×2</t>
        </is>
      </c>
      <c r="B18" t="inlineStr">
        <is>
          <t>8 (12 м)</t>
        </is>
      </c>
      <c r="C18" t="inlineStr">
        <is>
          <t>5.780 + 5.780</t>
        </is>
      </c>
      <c r="D18" t="inlineStr">
        <is>
          <t>Обрешётина, часть 1 (край → рама 3)</t>
        </is>
      </c>
      <c r="E18" t="n">
        <v>0.434</v>
      </c>
    </row>
    <row r="19">
      <c r="A19" t="inlineStr">
        <is>
          <t>□35×35×2</t>
        </is>
      </c>
      <c r="B19" t="inlineStr">
        <is>
          <t>9 (12 м)</t>
        </is>
      </c>
      <c r="C19" t="inlineStr">
        <is>
          <t>5.780 + 5.780</t>
        </is>
      </c>
      <c r="D19" t="inlineStr">
        <is>
          <t>Обрешётина, часть 1 (край → рама 3)</t>
        </is>
      </c>
      <c r="E19" t="n">
        <v>0.434</v>
      </c>
    </row>
    <row r="20">
      <c r="A20" t="inlineStr">
        <is>
          <t>□35×35×2</t>
        </is>
      </c>
      <c r="B20" t="inlineStr">
        <is>
          <t>10 (12 м)</t>
        </is>
      </c>
      <c r="C20" t="inlineStr">
        <is>
          <t>5.780 + 5.780</t>
        </is>
      </c>
      <c r="D20" t="inlineStr">
        <is>
          <t>Обрешётина, часть 1 (край → рама 3)</t>
        </is>
      </c>
      <c r="E20" t="n">
        <v>0.434</v>
      </c>
    </row>
    <row r="21">
      <c r="A21" t="inlineStr">
        <is>
          <t>□35×35×2</t>
        </is>
      </c>
      <c r="B21" t="inlineStr">
        <is>
          <t>11 (12 м)</t>
        </is>
      </c>
      <c r="C21" t="inlineStr">
        <is>
          <t>5.780 + 5.780</t>
        </is>
      </c>
      <c r="D21" t="inlineStr">
        <is>
          <t>Обрешётина, часть 1 (край → рама 3)</t>
        </is>
      </c>
      <c r="E21" t="n">
        <v>0.434</v>
      </c>
    </row>
    <row r="22">
      <c r="A22" t="inlineStr">
        <is>
          <t>□35×35×2</t>
        </is>
      </c>
      <c r="B22" t="inlineStr">
        <is>
          <t>12 (12 м)</t>
        </is>
      </c>
      <c r="C22" t="inlineStr">
        <is>
          <t>1.200 + 1.200 + 1.200 + 1.200 + 1.200 + 1.200 + 1.200 + 1.200 + 1.200</t>
        </is>
      </c>
      <c r="D22" t="inlineStr">
        <is>
          <t>Обрешётина, часть 2 (рама 3 → край)</t>
        </is>
      </c>
      <c r="E22" t="n">
        <v>1.173</v>
      </c>
    </row>
    <row r="23">
      <c r="A23" t="inlineStr">
        <is>
          <t>□35×35×2</t>
        </is>
      </c>
      <c r="B23" t="inlineStr">
        <is>
          <t>13 (12 м)</t>
        </is>
      </c>
      <c r="C23" t="inlineStr">
        <is>
          <t>1.200 + 1.200 + 1.200 + 1.200 + 1.200 + 1.200 + 1.200 + 1.200 + 1.200</t>
        </is>
      </c>
      <c r="D23" t="inlineStr">
        <is>
          <t>Обрешётина, часть 2 (рама 3 → край)</t>
        </is>
      </c>
      <c r="E23" t="n">
        <v>1.173</v>
      </c>
    </row>
    <row r="24">
      <c r="A24" t="inlineStr">
        <is>
          <t>□35×35×2</t>
        </is>
      </c>
      <c r="B24" t="inlineStr">
        <is>
          <t>14 (6 м)</t>
        </is>
      </c>
      <c r="C24" t="inlineStr">
        <is>
          <t>1.200 + 1.200 + 1.200 + 1.200</t>
        </is>
      </c>
      <c r="D24" t="inlineStr">
        <is>
          <t>Обрешётина, часть 2 (рама 3 → край)</t>
        </is>
      </c>
      <c r="E24" t="n">
        <v>1.188</v>
      </c>
    </row>
    <row r="25">
      <c r="A25" t="inlineStr">
        <is>
          <t>□60×60×3</t>
        </is>
      </c>
      <c r="B25" t="inlineStr">
        <is>
          <t>1 (6 м)</t>
        </is>
      </c>
      <c r="C25" t="inlineStr">
        <is>
          <t>0.113 + 0.113</t>
        </is>
      </c>
      <c r="D25" t="inlineStr">
        <is>
          <t>Стойка-вставка</t>
        </is>
      </c>
      <c r="E25" t="n">
        <v>5.768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14" customWidth="1" min="3" max="3"/>
    <col width="16" customWidth="1" min="4" max="4"/>
    <col width="12" customWidth="1" min="5" max="5"/>
    <col width="40" customWidth="1" min="6" max="6"/>
  </cols>
  <sheetData>
    <row r="1">
      <c r="A1" s="1" t="inlineStr">
        <is>
          <t>Скат</t>
        </is>
      </c>
      <c r="B1" s="1" t="inlineStr">
        <is>
          <t>Лист №</t>
        </is>
      </c>
      <c r="C1" s="1" t="inlineStr">
        <is>
          <t>Длина листа, м</t>
        </is>
      </c>
      <c r="D1" s="1" t="inlineStr">
        <is>
          <t>Полезн. ширина у карниза, мм</t>
        </is>
      </c>
      <c r="E1" s="1" t="inlineStr">
        <is>
          <t>у конька, мм</t>
        </is>
      </c>
      <c r="F1" s="1" t="inlineStr">
        <is>
          <t>Подрезка (у карниза → у конька)</t>
        </is>
      </c>
    </row>
    <row r="2">
      <c r="A2" t="inlineStr">
        <is>
          <t>Левый скат (свес 0.40 м)</t>
        </is>
      </c>
      <c r="B2" t="n">
        <v>1</v>
      </c>
      <c r="C2" t="n">
        <v>3.21</v>
      </c>
      <c r="D2" t="n">
        <v>1100</v>
      </c>
      <c r="E2" t="n">
        <v>943</v>
      </c>
      <c r="F2" t="inlineStr">
        <is>
          <t>передняя кромка 0→157 мм</t>
        </is>
      </c>
    </row>
    <row r="3">
      <c r="A3" t="inlineStr">
        <is>
          <t>Левый скат (свес 0.40 м)</t>
        </is>
      </c>
      <c r="B3" t="n">
        <v>2</v>
      </c>
      <c r="C3" t="n">
        <v>3.21</v>
      </c>
      <c r="D3" t="n">
        <v>1100</v>
      </c>
      <c r="E3" t="n">
        <v>1100</v>
      </c>
      <c r="F3" t="inlineStr">
        <is>
          <t>целый</t>
        </is>
      </c>
    </row>
    <row r="4">
      <c r="A4" t="inlineStr">
        <is>
          <t>Левый скат (свес 0.40 м)</t>
        </is>
      </c>
      <c r="B4" t="n">
        <v>3</v>
      </c>
      <c r="C4" t="n">
        <v>3.21</v>
      </c>
      <c r="D4" t="n">
        <v>1100</v>
      </c>
      <c r="E4" t="n">
        <v>1100</v>
      </c>
      <c r="F4" t="inlineStr">
        <is>
          <t>целый</t>
        </is>
      </c>
    </row>
    <row r="5">
      <c r="A5" t="inlineStr">
        <is>
          <t>Левый скат (свес 0.40 м)</t>
        </is>
      </c>
      <c r="B5" t="n">
        <v>4</v>
      </c>
      <c r="C5" t="n">
        <v>3.21</v>
      </c>
      <c r="D5" t="n">
        <v>1100</v>
      </c>
      <c r="E5" t="n">
        <v>1100</v>
      </c>
      <c r="F5" t="inlineStr">
        <is>
          <t>целый</t>
        </is>
      </c>
    </row>
    <row r="6">
      <c r="A6" t="inlineStr">
        <is>
          <t>Левый скат (свес 0.40 м)</t>
        </is>
      </c>
      <c r="B6" t="n">
        <v>5</v>
      </c>
      <c r="C6" t="n">
        <v>3.21</v>
      </c>
      <c r="D6" t="n">
        <v>1100</v>
      </c>
      <c r="E6" t="n">
        <v>1100</v>
      </c>
      <c r="F6" t="inlineStr">
        <is>
          <t>целый</t>
        </is>
      </c>
    </row>
    <row r="7">
      <c r="A7" t="inlineStr">
        <is>
          <t>Левый скат (свес 0.40 м)</t>
        </is>
      </c>
      <c r="B7" t="n">
        <v>6</v>
      </c>
      <c r="C7" t="n">
        <v>3.21</v>
      </c>
      <c r="D7" t="n">
        <v>1100</v>
      </c>
      <c r="E7" t="n">
        <v>1100</v>
      </c>
      <c r="F7" t="inlineStr">
        <is>
          <t>целый</t>
        </is>
      </c>
    </row>
    <row r="8">
      <c r="A8" t="inlineStr">
        <is>
          <t>Левый скат (свес 0.40 м)</t>
        </is>
      </c>
      <c r="B8" t="n">
        <v>7</v>
      </c>
      <c r="C8" t="n">
        <v>3.21</v>
      </c>
      <c r="D8" t="n">
        <v>380</v>
      </c>
      <c r="E8" t="n">
        <v>537</v>
      </c>
      <c r="F8" t="inlineStr">
        <is>
          <t>задняя кромка 720→562 мм</t>
        </is>
      </c>
    </row>
    <row r="9">
      <c r="A9" t="inlineStr">
        <is>
          <t>Правый скат (свес 0.90 м)</t>
        </is>
      </c>
      <c r="B9" t="n">
        <v>1</v>
      </c>
      <c r="C9" t="n">
        <v>3.721</v>
      </c>
      <c r="D9" t="n">
        <v>918</v>
      </c>
      <c r="E9" t="n">
        <v>1100</v>
      </c>
      <c r="F9" t="inlineStr">
        <is>
          <t>передняя кромка 182→0 мм</t>
        </is>
      </c>
    </row>
    <row r="10">
      <c r="A10" t="inlineStr">
        <is>
          <t>Правый скат (свес 0.90 м)</t>
        </is>
      </c>
      <c r="B10" t="n">
        <v>2</v>
      </c>
      <c r="C10" t="n">
        <v>3.721</v>
      </c>
      <c r="D10" t="n">
        <v>1100</v>
      </c>
      <c r="E10" t="n">
        <v>1100</v>
      </c>
      <c r="F10" t="inlineStr">
        <is>
          <t>целый</t>
        </is>
      </c>
    </row>
    <row r="11">
      <c r="A11" t="inlineStr">
        <is>
          <t>Правый скат (свес 0.90 м)</t>
        </is>
      </c>
      <c r="B11" t="n">
        <v>3</v>
      </c>
      <c r="C11" t="n">
        <v>3.721</v>
      </c>
      <c r="D11" t="n">
        <v>1100</v>
      </c>
      <c r="E11" t="n">
        <v>1100</v>
      </c>
      <c r="F11" t="inlineStr">
        <is>
          <t>целый</t>
        </is>
      </c>
    </row>
    <row r="12">
      <c r="A12" t="inlineStr">
        <is>
          <t>Правый скат (свес 0.90 м)</t>
        </is>
      </c>
      <c r="B12" t="n">
        <v>4</v>
      </c>
      <c r="C12" t="n">
        <v>3.721</v>
      </c>
      <c r="D12" t="n">
        <v>1100</v>
      </c>
      <c r="E12" t="n">
        <v>1100</v>
      </c>
      <c r="F12" t="inlineStr">
        <is>
          <t>целый</t>
        </is>
      </c>
    </row>
    <row r="13">
      <c r="A13" t="inlineStr">
        <is>
          <t>Правый скат (свес 0.90 м)</t>
        </is>
      </c>
      <c r="B13" t="n">
        <v>5</v>
      </c>
      <c r="C13" t="n">
        <v>3.721</v>
      </c>
      <c r="D13" t="n">
        <v>1100</v>
      </c>
      <c r="E13" t="n">
        <v>1100</v>
      </c>
      <c r="F13" t="inlineStr">
        <is>
          <t>целый</t>
        </is>
      </c>
    </row>
    <row r="14">
      <c r="A14" t="inlineStr">
        <is>
          <t>Правый скат (свес 0.90 м)</t>
        </is>
      </c>
      <c r="B14" t="n">
        <v>6</v>
      </c>
      <c r="C14" t="n">
        <v>3.721</v>
      </c>
      <c r="D14" t="n">
        <v>1100</v>
      </c>
      <c r="E14" t="n">
        <v>1100</v>
      </c>
      <c r="F14" t="inlineStr">
        <is>
          <t>целый</t>
        </is>
      </c>
    </row>
    <row r="15">
      <c r="A15" t="inlineStr">
        <is>
          <t>Правый скат (свес 0.90 м)</t>
        </is>
      </c>
      <c r="B15" t="n">
        <v>7</v>
      </c>
      <c r="C15" t="n">
        <v>3.721</v>
      </c>
      <c r="D15" t="n">
        <v>562</v>
      </c>
      <c r="E15" t="n">
        <v>380</v>
      </c>
      <c r="F15" t="inlineStr">
        <is>
          <t>задняя кромка 537→720 мм</t>
        </is>
      </c>
    </row>
    <row r="17">
      <c r="A17" t="inlineStr">
        <is>
          <t>Итого 14 листов; площадь по габаритной ширине 1.18 м — 57.2 м², по полезной — 53.4 м²; кровля 48.2 м². Укладка от переднего края (дорога).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8" customWidth="1" min="3" max="3"/>
    <col width="8" customWidth="1" min="4" max="4"/>
    <col width="10" customWidth="1" min="5" max="5"/>
    <col width="30" customWidth="1" min="6" max="6"/>
    <col width="60" customWidth="1" min="7" max="7"/>
  </cols>
  <sheetData>
    <row r="1">
      <c r="A1" s="1" t="inlineStr">
        <is>
          <t>Позиция</t>
        </is>
      </c>
      <c r="B1" s="1" t="inlineStr">
        <is>
          <t>Размер, мм</t>
        </is>
      </c>
      <c r="C1" s="1" t="inlineStr">
        <is>
          <t>t, мм</t>
        </is>
      </c>
      <c r="D1" s="1" t="inlineStr">
        <is>
          <t>Кол-во</t>
        </is>
      </c>
      <c r="E1" s="1" t="inlineStr">
        <is>
          <t>Масса, кг</t>
        </is>
      </c>
      <c r="F1" s="1" t="inlineStr">
        <is>
          <t>Где</t>
        </is>
      </c>
      <c r="G1" s="1" t="inlineStr">
        <is>
          <t>Из чего резать</t>
        </is>
      </c>
    </row>
    <row r="2">
      <c r="A2" t="inlineStr">
        <is>
          <t>Фасонка узла А</t>
        </is>
      </c>
      <c r="B2" t="inlineStr">
        <is>
          <t>трапеция 250 × 169 / 223</t>
        </is>
      </c>
      <c r="C2" t="n">
        <v>5</v>
      </c>
      <c r="D2" t="n">
        <v>8</v>
      </c>
      <c r="E2" t="n">
        <v>15.39</v>
      </c>
      <c r="F2" t="inlineStr">
        <is>
          <t>узлы А (4 × 2), ставятся на объекте</t>
        </is>
      </c>
      <c r="G2" t="inlineStr">
        <is>
          <t>полоса 250 мм из листа t=5: 4 пары «валетом» по 392 мм → 250 × 1568</t>
        </is>
      </c>
    </row>
    <row r="3">
      <c r="A3" t="inlineStr">
        <is>
          <t>Фасонка узла Б</t>
        </is>
      </c>
      <c r="B3" t="inlineStr">
        <is>
          <t>трапеция 230 × 164 / 213</t>
        </is>
      </c>
      <c r="C3" t="n">
        <v>5</v>
      </c>
      <c r="D3" t="n">
        <v>4</v>
      </c>
      <c r="E3" t="n">
        <v>6.79</v>
      </c>
      <c r="F3" t="inlineStr">
        <is>
          <t>узлы Б (2 × 2), в цеху на средней раме</t>
        </is>
      </c>
      <c r="G3" t="inlineStr">
        <is>
          <t>полоса 230 мм из листа t=5: 2 пары «валетом» по 377 мм → 230 × 754</t>
        </is>
      </c>
    </row>
    <row r="4">
      <c r="A4" t="inlineStr">
        <is>
          <t>Опорный столик боковой фермы</t>
        </is>
      </c>
      <c r="B4" t="inlineStr">
        <is>
          <t>370 × 80</t>
        </is>
      </c>
      <c r="C4" t="n">
        <v>8</v>
      </c>
      <c r="D4" t="n">
        <v>2</v>
      </c>
      <c r="E4" t="n">
        <v>3.72</v>
      </c>
      <c r="F4" t="inlineStr">
        <is>
          <t>вершина боковой фермы</t>
        </is>
      </c>
      <c r="G4" t="inlineStr">
        <is>
          <t>полоса 80×8: 2 × 370 = 740 мм</t>
        </is>
      </c>
    </row>
    <row r="5">
      <c r="A5" t="inlineStr">
        <is>
          <t>Опорная пластина под стропило</t>
        </is>
      </c>
      <c r="B5" t="inlineStr">
        <is>
          <t>140 × 60</t>
        </is>
      </c>
      <c r="C5" t="n">
        <v>6</v>
      </c>
      <c r="D5" t="n">
        <v>6</v>
      </c>
      <c r="E5" t="n">
        <v>2.37</v>
      </c>
      <c r="F5" t="inlineStr">
        <is>
          <t>верх колонн и стоек-вставок</t>
        </is>
      </c>
      <c r="G5" t="inlineStr">
        <is>
          <t>полоса 60×6: 6 × 140 = 840 мм</t>
        </is>
      </c>
    </row>
    <row r="6">
      <c r="A6" t="inlineStr">
        <is>
          <t>Заглушка низа колонны</t>
        </is>
      </c>
      <c r="B6" t="inlineStr">
        <is>
          <t>110 × 70</t>
        </is>
      </c>
      <c r="C6" t="n">
        <v>4</v>
      </c>
      <c r="D6" t="n">
        <v>4</v>
      </c>
      <c r="E6" t="n">
        <v>0.97</v>
      </c>
      <c r="F6" t="inlineStr">
        <is>
          <t>низ колонн в лунке</t>
        </is>
      </c>
      <c r="G6" t="inlineStr">
        <is>
          <t>лист t=4: 4 шт → 220 × 140</t>
        </is>
      </c>
    </row>
    <row r="7">
      <c r="A7" t="inlineStr">
        <is>
          <t>Заглушка торца стропила в свесе</t>
        </is>
      </c>
      <c r="B7" t="inlineStr">
        <is>
          <t>100 × 60</t>
        </is>
      </c>
      <c r="C7" t="n">
        <v>2</v>
      </c>
      <c r="D7" t="n">
        <v>6</v>
      </c>
      <c r="E7" t="n">
        <v>0.57</v>
      </c>
      <c r="F7" t="inlineStr">
        <is>
          <t>концы стропил у карниза</t>
        </is>
      </c>
      <c r="G7" t="inlineStr">
        <is>
          <t>лист t=2 (или пластиковые заглушки 100×60)</t>
        </is>
      </c>
    </row>
    <row r="8">
      <c r="A8" t="inlineStr">
        <is>
          <t>Заглушка торца обрешётины</t>
        </is>
      </c>
      <c r="B8" t="inlineStr">
        <is>
          <t>35 × 35</t>
        </is>
      </c>
      <c r="C8" t="inlineStr">
        <is>
          <t>—</t>
        </is>
      </c>
      <c r="D8" t="n">
        <v>44</v>
      </c>
      <c r="E8" t="n">
        <v>0</v>
      </c>
      <c r="F8" t="inlineStr">
        <is>
          <t>торцы обрешётин на кромках кровли</t>
        </is>
      </c>
      <c r="G8" t="inlineStr">
        <is>
          <t>пластиковые заглушки 35×35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0" customWidth="1" min="3" max="3"/>
    <col width="10" customWidth="1" min="4" max="4"/>
    <col width="10" customWidth="1" min="5" max="5"/>
    <col width="10" customWidth="1" min="6" max="6"/>
    <col width="70" customWidth="1" min="7" max="7"/>
  </cols>
  <sheetData>
    <row r="1">
      <c r="A1" s="1" t="inlineStr">
        <is>
          <t>Элемент</t>
        </is>
      </c>
      <c r="B1" s="1" t="inlineStr">
        <is>
          <t>Сечение</t>
        </is>
      </c>
      <c r="C1" s="1" t="inlineStr">
        <is>
          <t>N сж, кН</t>
        </is>
      </c>
      <c r="D1" s="1" t="inlineStr">
        <is>
          <t>N раст, кН</t>
        </is>
      </c>
      <c r="E1" s="1" t="inlineStr">
        <is>
          <t>M, кН·м</t>
        </is>
      </c>
      <c r="F1" s="1" t="inlineStr">
        <is>
          <t>Коэф. исп.</t>
        </is>
      </c>
      <c r="G1" s="1" t="inlineStr">
        <is>
          <t>Определяющая проверка</t>
        </is>
      </c>
    </row>
    <row r="2">
      <c r="A2" t="inlineStr">
        <is>
          <t>Колонны</t>
        </is>
      </c>
      <c r="B2" t="inlineStr">
        <is>
          <t>□100×60×4</t>
        </is>
      </c>
      <c r="C2" t="n">
        <v>24.1</v>
      </c>
      <c r="D2" t="n">
        <v>0</v>
      </c>
      <c r="E2" t="n">
        <v>2.511</v>
      </c>
      <c r="F2" t="n">
        <v>0.857</v>
      </c>
      <c r="G2" t="inlineStr">
        <is>
          <t>гибкость [D+S]</t>
        </is>
      </c>
    </row>
    <row r="3">
      <c r="A3" t="inlineStr">
        <is>
          <t>Стропила</t>
        </is>
      </c>
      <c r="B3" t="inlineStr">
        <is>
          <t>□100×60×3</t>
        </is>
      </c>
      <c r="C3" t="n">
        <v>28.09</v>
      </c>
      <c r="D3" t="n">
        <v>0.8</v>
      </c>
      <c r="E3" t="n">
        <v>4.073</v>
      </c>
      <c r="F3" t="n">
        <v>0.959</v>
      </c>
      <c r="G3" t="inlineStr">
        <is>
          <t>устойчивость [D+S+0.9W+x]</t>
        </is>
      </c>
    </row>
    <row r="4">
      <c r="A4" t="inlineStr">
        <is>
          <t>Затяжки</t>
        </is>
      </c>
      <c r="B4" t="inlineStr">
        <is>
          <t>□60×60×2</t>
        </is>
      </c>
      <c r="C4" t="n">
        <v>0.57</v>
      </c>
      <c r="D4" t="n">
        <v>26.35</v>
      </c>
      <c r="E4" t="n">
        <v>0.367</v>
      </c>
      <c r="F4" t="n">
        <v>0.772</v>
      </c>
      <c r="G4" t="inlineStr">
        <is>
          <t>гибкость [0.95D+W-x]</t>
        </is>
      </c>
    </row>
    <row r="5">
      <c r="A5" t="inlineStr">
        <is>
          <t>Подвеска (стойка у конька)</t>
        </is>
      </c>
      <c r="B5" t="inlineStr">
        <is>
          <t>□20×20×2</t>
        </is>
      </c>
      <c r="C5" t="n">
        <v>0</v>
      </c>
      <c r="D5" t="n">
        <v>1.68</v>
      </c>
      <c r="E5" t="n">
        <v>0.021</v>
      </c>
      <c r="F5" t="n">
        <v>0.31</v>
      </c>
      <c r="G5" t="inlineStr">
        <is>
          <t>узел kp→tie: продавливание грани пояса N=1.7 кН, NRd=5.4 кН</t>
        </is>
      </c>
    </row>
    <row r="6">
      <c r="A6" t="inlineStr">
        <is>
          <t>Подкосы фермы</t>
        </is>
      </c>
      <c r="B6" t="inlineStr">
        <is>
          <t>□20×20×2</t>
        </is>
      </c>
      <c r="C6" t="n">
        <v>5.61</v>
      </c>
      <c r="D6" t="n">
        <v>2.78</v>
      </c>
      <c r="E6" t="n">
        <v>0.01</v>
      </c>
      <c r="F6" t="n">
        <v>0.896</v>
      </c>
      <c r="G6" t="inlineStr">
        <is>
          <t>гибкость [D+S(лів.)]</t>
        </is>
      </c>
    </row>
    <row r="7">
      <c r="A7" t="inlineStr">
        <is>
          <t>Обрешётка</t>
        </is>
      </c>
      <c r="B7" t="inlineStr">
        <is>
          <t>□35×35×2</t>
        </is>
      </c>
      <c r="C7" t="n">
        <v>0.88</v>
      </c>
      <c r="D7" t="n">
        <v>2.1</v>
      </c>
      <c r="E7" t="n">
        <v>0.438</v>
      </c>
      <c r="F7" t="n">
        <v>0.887</v>
      </c>
      <c r="G7" t="inlineStr">
        <is>
          <t>прочность [D+S+0.9W+x]</t>
        </is>
      </c>
    </row>
    <row r="8">
      <c r="A8" t="inlineStr">
        <is>
          <t>Раскосы боковой фермы</t>
        </is>
      </c>
      <c r="B8" t="inlineStr">
        <is>
          <t>□60×60×2</t>
        </is>
      </c>
      <c r="C8" t="n">
        <v>20.87</v>
      </c>
      <c r="D8" t="n">
        <v>0</v>
      </c>
      <c r="E8" t="n">
        <v>0.166</v>
      </c>
      <c r="F8" t="n">
        <v>0.643</v>
      </c>
      <c r="G8" t="inlineStr">
        <is>
          <t>стенка c/t [D+S]</t>
        </is>
      </c>
    </row>
    <row r="9">
      <c r="A9" t="inlineStr">
        <is>
          <t>Нижний пояс боковой фермы</t>
        </is>
      </c>
      <c r="B9" t="inlineStr">
        <is>
          <t>□60×60×2</t>
        </is>
      </c>
      <c r="C9" t="n">
        <v>0</v>
      </c>
      <c r="D9" t="n">
        <v>17.85</v>
      </c>
      <c r="E9" t="n">
        <v>0.12</v>
      </c>
      <c r="F9" t="n">
        <v>0.643</v>
      </c>
      <c r="G9" t="inlineStr">
        <is>
          <t>стенка c/t изг. [D+S]</t>
        </is>
      </c>
    </row>
    <row r="10">
      <c r="A10" t="inlineStr">
        <is>
          <t>Стойка-вставка средней рамы</t>
        </is>
      </c>
      <c r="B10" t="inlineStr">
        <is>
          <t>□60×60×3</t>
        </is>
      </c>
      <c r="C10" t="n">
        <v>13.97</v>
      </c>
      <c r="D10" t="n">
        <v>0</v>
      </c>
      <c r="E10" t="n">
        <v>1.95</v>
      </c>
      <c r="F10" t="n">
        <v>0.83</v>
      </c>
      <c r="G10" t="inlineStr">
        <is>
          <t>устойчивость [D+S]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0" customWidth="1" min="1" max="1"/>
    <col width="12" customWidth="1" min="2" max="2"/>
    <col width="12" customWidth="1" min="3" max="3"/>
    <col width="10" customWidth="1" min="4" max="4"/>
    <col width="120" customWidth="1" min="5" max="5"/>
  </cols>
  <sheetData>
    <row r="1">
      <c r="A1" s="1" t="inlineStr">
        <is>
          <t>Схема</t>
        </is>
      </c>
      <c r="B1" s="1" t="inlineStr">
        <is>
          <t>Итог, грн</t>
        </is>
      </c>
      <c r="C1" s="1" t="inlineStr">
        <is>
          <t>Трубы, грн</t>
        </is>
      </c>
      <c r="D1" s="1" t="inlineStr">
        <is>
          <t>Масса, кг</t>
        </is>
      </c>
      <c r="E1" s="1" t="inlineStr">
        <is>
          <t>Сечения</t>
        </is>
      </c>
    </row>
    <row r="2">
      <c r="A2" t="inlineStr">
        <is>
          <t>3 рамы (средняя на боковых фермах), без верхн. пояса, низ. пояс +2.10, подвеска + подкосы фермы, без попер. подкосов, без связей</t>
        </is>
      </c>
      <c r="B2" t="n">
        <v>185164</v>
      </c>
      <c r="C2" t="n">
        <v>44236</v>
      </c>
      <c r="D2" t="n">
        <v>730</v>
      </c>
      <c r="E2" t="inlineStr">
        <is>
          <t>Подкосы фермы: □20×20×2; Нижний пояс боковой фермы: □35×35×2; Колонны: □100×50×4; Раскосы боковой фермы: □60×60×2; Стропила: □100×60×3; Стойка-вставка средней рамы: □70×70×2; Обрешётка: □35×35×2; Затяжки: □60×60×2; Подвеска (стойка у конька): □20×20×2</t>
        </is>
      </c>
    </row>
    <row r="3">
      <c r="A3" t="inlineStr">
        <is>
          <t>3 рамы (средняя на боковых фермах), верхн. пояс, низ. пояс +2.10, подвеска, без попер. подкосов, без связей</t>
        </is>
      </c>
      <c r="B3" t="n">
        <v>185802</v>
      </c>
      <c r="C3" t="n">
        <v>46085</v>
      </c>
      <c r="D3" t="n">
        <v>757</v>
      </c>
      <c r="E3" t="inlineStr">
        <is>
          <t>Нижний пояс боковой фермы: □35×35×2; Верхний пояс боковой фермы / обвязка: □40×40×2; Колонны: □100×60×4;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4">
      <c r="A4" t="inlineStr">
        <is>
          <t>3 рамы (средняя на боковых фермах), без верхн. пояса, низ. пояс +2.10, подвеска + подкосы фермы, попер. подкосы, без связей</t>
        </is>
      </c>
      <c r="B4" t="n">
        <v>185863</v>
      </c>
      <c r="C4" t="n">
        <v>43344</v>
      </c>
      <c r="D4" t="n">
        <v>726</v>
      </c>
      <c r="E4" t="inlineStr">
        <is>
          <t>Подкосы фермы: □30×20×2; Нижний пояс боковой фермы: □35×35×2; Колонны: □80×80×4; Раскосы боковой фермы: □50×50×2; Стропила: □100×60×3; Стойка-вставка средней рамы: □70×70×2; Обрешётка: □35×35×2; Подкосы колонна→затяжка: □20×20×2; Затяжки: □45×45×2; Подвеска (стойка у конька): □20×20×2</t>
        </is>
      </c>
    </row>
    <row r="5">
      <c r="A5" t="inlineStr">
        <is>
          <t>3 рамы (средняя на боковых фермах), без верхн. пояса, низ. пояс +2.10, подвеска, без попер. подкосов, без связей</t>
        </is>
      </c>
      <c r="B5" t="n">
        <v>186096</v>
      </c>
      <c r="C5" t="n">
        <v>47254</v>
      </c>
      <c r="D5" t="n">
        <v>776</v>
      </c>
      <c r="E5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Затяжки: □60×60×2; Подвеска (стойка у конька): □20×20×2</t>
        </is>
      </c>
    </row>
    <row r="6">
      <c r="A6" t="inlineStr">
        <is>
          <t>3 рамы (средняя на боковых фермах), верхн. пояс, низ. пояс +2.10, подвеска + подкосы фермы, без попер. подкосов, без связей</t>
        </is>
      </c>
      <c r="B6" t="n">
        <v>186815</v>
      </c>
      <c r="C6" t="n">
        <v>44774</v>
      </c>
      <c r="D6" t="n">
        <v>746</v>
      </c>
      <c r="E6" t="inlineStr">
        <is>
          <t>Подкосы фермы: □20×20×2; Нижний пояс боковой фермы: □35×35×2; Верхний пояс боковой фермы / обвязка: □40×40×2; Колонны: □80×80×4;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7">
      <c r="A7" t="inlineStr">
        <is>
          <t>3 рамы (средняя на боковых фермах), верхн. пояс, низ. пояс +2.10, подвеска, попер. подкосы, без связей</t>
        </is>
      </c>
      <c r="B7" t="n">
        <v>186866</v>
      </c>
      <c r="C7" t="n">
        <v>45451</v>
      </c>
      <c r="D7" t="n">
        <v>752</v>
      </c>
      <c r="E7" t="inlineStr">
        <is>
          <t>Нижний пояс боковой фермы: □35×35×2; Верхний пояс боковой фермы / обвязка: □40×40×2; Колонны: □80×80×4;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□20×20×2</t>
        </is>
      </c>
    </row>
    <row r="8">
      <c r="A8" t="inlineStr">
        <is>
          <t>3 рамы (средняя на боковых фермах), без верхн. пояса, низ. пояс +2.10, подвеска, попер. подкосы, без связей</t>
        </is>
      </c>
      <c r="B8" t="n">
        <v>187661</v>
      </c>
      <c r="C8" t="n">
        <v>46987</v>
      </c>
      <c r="D8" t="n">
        <v>772</v>
      </c>
      <c r="E8" t="inlineStr">
        <is>
          <t>Нижний пояс боковой фермы: □35×35×2; Колонны: □120×80×4; Раскосы боковой фермы: □50×50×2; Стропила: □120×60×2,8; Стойка-вставка средней рамы: □70×70×2; Обрешётка: □40×30×2; Подкосы колонна→затяжка: □20×20×2; Затяжки: □60×40×2; Подвеска (стойка у конька): □40×25×2</t>
        </is>
      </c>
    </row>
    <row r="9">
      <c r="A9" t="inlineStr">
        <is>
          <t>3 рамы (средняя на боковых фермах), верхн. пояс, низ. пояс +2.10, подвеска + подкосы фермы, попер. подкосы, без связей</t>
        </is>
      </c>
      <c r="B9" t="n">
        <v>188850</v>
      </c>
      <c r="C9" t="n">
        <v>44710</v>
      </c>
      <c r="D9" t="n">
        <v>742</v>
      </c>
      <c r="E9" t="inlineStr">
        <is>
          <t>Подкосы фермы: □20×20×2; Нижний пояс боковой фермы: □35×35×2; Верхний пояс боковой фермы / обвязка: □40×40×2; Колонны: □100×50×3,8; Раскосы боковой фермы: □60×60×2; Стропила: □100×60×3; Стойка-вставка средней рамы: □80×40×4; Обрешётка: □35×35×2; Подкосы колонна→затяжка: □40×20×2; Затяжки: □60×40×2; Подвеска (стойка у конька): □20×20×2</t>
        </is>
      </c>
    </row>
    <row r="10">
      <c r="A10" t="inlineStr">
        <is>
          <t>3 рамы (средняя на боковых фермах), без верхн. пояса, низ. пояс +2.10, подвеска + подкосы фермы, без попер. подкосов, связи по скатам</t>
        </is>
      </c>
      <c r="B10" t="n">
        <v>193948</v>
      </c>
      <c r="C10" t="n">
        <v>45056</v>
      </c>
      <c r="D10" t="n">
        <v>750</v>
      </c>
      <c r="E10" t="inlineStr">
        <is>
          <t>Подкосы фермы: □20×20×2; Нижний пояс боковой фермы: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1">
      <c r="A11" t="inlineStr">
        <is>
          <t>3 рамы (средняя на боковых фермах), без верхн. пояса, низ. пояс +2.10, подвеска + подкосы фермы, попер. подкосы, связи по скатам</t>
        </is>
      </c>
      <c r="B11" t="n">
        <v>195345</v>
      </c>
      <c r="C11" t="n">
        <v>44771</v>
      </c>
      <c r="D11" t="n">
        <v>747</v>
      </c>
      <c r="E11" t="inlineStr">
        <is>
          <t>Подкосы фермы: □20×20×2; Нижний пояс боковой фермы: □35×35×2; Колонны: □80×80×4; Связи по скатам: □20×20×2; Раскосы боковой фермы: □50×50×2; Стропила: □100×60×3; Стойка-вставка средней рамы: □80×60×2; Обрешётка: □35×35×2; Подкосы колонна→затяжка: □20×20×2; Затяжки: □50×40×2; Подвеска (стойка у конька): □20×20×2</t>
        </is>
      </c>
    </row>
    <row r="12">
      <c r="A12" t="inlineStr">
        <is>
          <t>3 рамы (средняя на боковых фермах), без верхн. пояса, низ. пояс +2.10, подвеска, попер. подкосы, связи по скатам</t>
        </is>
      </c>
      <c r="B12" t="n">
        <v>195785</v>
      </c>
      <c r="C12" t="n">
        <v>46929</v>
      </c>
      <c r="D12" t="n">
        <v>779</v>
      </c>
      <c r="E12" t="inlineStr">
        <is>
          <t>Нижний пояс боковой фермы: □40×40×2,1; Колонны: □80×80×4; Связи по скатам: □50×20×2; Раскосы боковой фермы: □50×50×2; Стропила: □120×60×2,8; Стойка-вставка средней рамы: □80×40×4; Обрешётка: □35×35×2; Подкосы колонна→затяжка: □20×20×2; Затяжки: □60×40×2; Подвеска (стойка у конька): □30×20×2</t>
        </is>
      </c>
    </row>
    <row r="13">
      <c r="A13" t="inlineStr">
        <is>
          <t>3 рамы (средняя на боковых фермах), верхн. пояс, низ. пояс +2.10, подвеска + подкосы фермы, без попер. подкосов, связи по скатам</t>
        </is>
      </c>
      <c r="B13" t="n">
        <v>196503</v>
      </c>
      <c r="C13" t="n">
        <v>46225</v>
      </c>
      <c r="D13" t="n">
        <v>769</v>
      </c>
      <c r="E13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□35×35×2; Затяжки: □50×50×2; Подвеска (стойка у конька): □20×20×2</t>
        </is>
      </c>
    </row>
    <row r="14">
      <c r="A14" t="inlineStr">
        <is>
          <t>3 рамы (средняя на боковых фермах), верхн. пояс, низ. пояс +2.10, подвеска, без попер. подкосов, связи по скатам</t>
        </is>
      </c>
      <c r="B14" t="n">
        <v>196908</v>
      </c>
      <c r="C14" t="n">
        <v>48576</v>
      </c>
      <c r="D14" t="n">
        <v>796</v>
      </c>
      <c r="E14" t="inlineStr">
        <is>
          <t>Нижний пояс боковой фермы: □50×30×2 пл.;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□40×30×2; Затяжки: □60×60×2; Подвеска (стойка у конька): □30×20×2</t>
        </is>
      </c>
    </row>
    <row r="15">
      <c r="A15" t="inlineStr">
        <is>
          <t>2 рамы (только по колоннам), подвеска, без попер. подкосов, без связей</t>
        </is>
      </c>
      <c r="B15" t="n">
        <v>196961</v>
      </c>
      <c r="C15" t="n">
        <v>63623</v>
      </c>
      <c r="D15" t="n">
        <v>1060</v>
      </c>
      <c r="E15" t="inlineStr">
        <is>
          <t>Колонны: □140×140×4; Стропила: □160×80×4; Обрешётка: □60×60×2; Затяжки: □50×50×2; Подвеска (стойка у конька): □20×20×2</t>
        </is>
      </c>
    </row>
    <row r="16">
      <c r="A16" t="inlineStr">
        <is>
          <t>3 рамы (средняя на боковых фермах), верхн. пояс, низ. пояс +2.10, подвеска, попер. подкосы, связи по скатам</t>
        </is>
      </c>
      <c r="B16" t="n">
        <v>198474</v>
      </c>
      <c r="C16" t="n">
        <v>48172</v>
      </c>
      <c r="D16" t="n">
        <v>794</v>
      </c>
      <c r="E16" t="inlineStr">
        <is>
          <t>Нижний пояс боковой фермы: □45×45×2; Верхний пояс боковой фермы / обвязка: □40×40×2; Колонны: □100×50×3,8; Связи по скатам: □50×20×2; Раскосы боковой фермы: □45×45×3; Стропила: □120×60×2,8; Стойка-вставка средней рамы: □90×30×2; Обрешётка: □35×35×2; Подкосы колонна→затяжка: □20×20×2; Затяжки: □60×40×2; Подвеска (стойка у конька): □40×40×2</t>
        </is>
      </c>
    </row>
    <row r="17">
      <c r="A17" t="inlineStr">
        <is>
          <t>3 рамы (средняя на боковых фермах), верхн. пояс, низ. пояс +2.10, подвеска + подкосы фермы, попер. подкосы, связи по скатам</t>
        </is>
      </c>
      <c r="B17" t="n">
        <v>198495</v>
      </c>
      <c r="C17" t="n">
        <v>46440</v>
      </c>
      <c r="D17" t="n">
        <v>768</v>
      </c>
      <c r="E17" t="inlineStr">
        <is>
          <t>Подкосы фермы: □20×20×2; Нижний пояс боковой фермы: □35×35×2; Верхний пояс боковой фермы / обвязка: □40×40×2; Колонны: □80×80×4; Связи по скатам: □20×20×2; Раскосы боковой фермы: □50×50×2; Стропила: □100×60×3; Стойка-вставка средней рамы: □70×70×2; Обрешётка: □40×30×2; Подкосы колонна→затяжка: □20×20×2; Затяжки: □50×40×2; Подвеска (стойка у конька): □20×20×2</t>
        </is>
      </c>
    </row>
    <row r="18">
      <c r="A18" t="inlineStr">
        <is>
          <t>3 рамы (средняя на боковых фермах), без верхн. пояса, низ. пояс +2.10, подвеска, без попер. подкосов, связи по скатам</t>
        </is>
      </c>
      <c r="B18" t="n">
        <v>198519</v>
      </c>
      <c r="C18" t="n">
        <v>50534</v>
      </c>
      <c r="D18" t="n">
        <v>833</v>
      </c>
      <c r="E18" t="inlineStr">
        <is>
          <t>Нижний пояс боковой фермы: □40×40×2; Колонны: □120×80×4; Связи по скатам: □50×20×2; Раскосы боковой фермы: □45×45×3; Стропила: □120×60×2,8; Стойка-вставка средней рамы: □70×70×2; Обрешётка: □35×35×2; Затяжки: □60×60×2; Подвеска (стойка у конька): □40×40×2</t>
        </is>
      </c>
    </row>
    <row r="19">
      <c r="A19" t="inlineStr">
        <is>
          <t>2 рамы (только по колоннам), подвеска, попер. подкосы, без связей</t>
        </is>
      </c>
      <c r="B19" t="n">
        <v>198842</v>
      </c>
      <c r="C19" t="n">
        <v>63543</v>
      </c>
      <c r="D19" t="n">
        <v>1060</v>
      </c>
      <c r="E19" t="inlineStr">
        <is>
          <t>Колонны: □140×140×4; Стропила: □160×80×4; Обрешётка: □60×60×2; Подкосы колонна→затяжка: □40×20×2; Затяжки: □40×40×2; Подвеска (стойка у конька): □20×20×2</t>
        </is>
      </c>
    </row>
    <row r="20">
      <c r="A20" t="inlineStr">
        <is>
          <t>2 рамы (только по колоннам), обвязка, подвеска, без попер. подкосов, без связей</t>
        </is>
      </c>
      <c r="B20" t="n">
        <v>199515</v>
      </c>
      <c r="C20" t="n">
        <v>64793</v>
      </c>
      <c r="D20" t="n">
        <v>1078</v>
      </c>
      <c r="E20" t="inlineStr">
        <is>
          <t>Колонны: □140×140×4; Стропила: □160×80×4; Продольная обвязка: □35×35×2; Обрешётка: □60×60×2; Затяжки: □50×50×2; Подвеска (стойка у конька): □20×20×2</t>
        </is>
      </c>
    </row>
    <row r="21">
      <c r="A21" t="inlineStr">
        <is>
          <t>2 рамы (только по колоннам), обвязка, подвеска, попер. подкосы, без связей</t>
        </is>
      </c>
      <c r="B21" t="n">
        <v>201397</v>
      </c>
      <c r="C21" t="n">
        <v>64712</v>
      </c>
      <c r="D21" t="n">
        <v>1078</v>
      </c>
      <c r="E21" t="inlineStr">
        <is>
          <t>Колонны: □140×140×4; Стропила: □160×80×4; Продольная обвязка: □35×35×2; Обрешётка: □60×60×2; Подкосы колонна→затяжка: □40×20×2; Затяжки: □40×40×2; Подвеска (стойка у конька): □20×20×2</t>
        </is>
      </c>
    </row>
    <row r="22">
      <c r="A22" t="inlineStr">
        <is>
          <t>2 рамы (только по колоннам), обвязка + прод. подкосы, подвеска + подкосы фермы, без попер. подкосов, без связей</t>
        </is>
      </c>
      <c r="B22" t="n">
        <v>202118</v>
      </c>
      <c r="C22" t="n">
        <v>63037</v>
      </c>
      <c r="D22" t="n">
        <v>1025</v>
      </c>
      <c r="E22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Затяжки: □60×60×2; Подвеска (стойка у конька): □20×20×2</t>
        </is>
      </c>
    </row>
    <row r="23">
      <c r="A23" t="inlineStr">
        <is>
          <t>2 рамы (только по колоннам), обвязка + прод. подкосы, подвеска + подкосы фермы, попер. подкосы, без связей</t>
        </is>
      </c>
      <c r="B23" t="n">
        <v>203878</v>
      </c>
      <c r="C23" t="n">
        <v>62953</v>
      </c>
      <c r="D23" t="n">
        <v>1024</v>
      </c>
      <c r="E23" t="inlineStr">
        <is>
          <t>Подкосы фермы: □30×20×2; Продольные подкосы: □30×20×2; Колонны: □100×100×3,8; Стропила: □120×80×3; Продольная обвязка: □30×20×2 пл.; Обрешётка: □70×70×2; Подкосы колонна→затяжка: □30×20×2; Затяжки: □60×40×2; Подвеска (стойка у конька): □20×20×2</t>
        </is>
      </c>
    </row>
    <row r="24">
      <c r="A24" t="inlineStr">
        <is>
          <t>2 рамы (только по колоннам), подвеска + подкосы фермы, без попер. подкосов, без связей</t>
        </is>
      </c>
      <c r="B24" t="n">
        <v>205070</v>
      </c>
      <c r="C24" t="n">
        <v>68215</v>
      </c>
      <c r="D24" t="n">
        <v>1126</v>
      </c>
      <c r="E24" t="inlineStr">
        <is>
          <t>Подкосы фермы: □20×20×2; Колонны: □140×140×4; Стропила: □120×80×4; Обрешётка: □70×70×2; Затяжки: □50×50×2; Подвеска (стойка у конька): □20×20×2</t>
        </is>
      </c>
    </row>
    <row r="25">
      <c r="A25" t="inlineStr">
        <is>
          <t>2 рамы (только по колоннам), обвязка + прод. подкосы, подвеска, без попер. подкосов, без связей</t>
        </is>
      </c>
      <c r="B25" t="n">
        <v>205097</v>
      </c>
      <c r="C25" t="n">
        <v>67173</v>
      </c>
      <c r="D25" t="n">
        <v>1100</v>
      </c>
      <c r="E25" t="inlineStr">
        <is>
          <t>Продольные подкосы: □30×20×2; Колонны: □100×100×3,8; Стропила: □160×80×4; Продольная обвязка: □60×40×2; Обрешётка: □70×70×2; Затяжки: □50×50×2; Подвеска (стойка у конька): □30×20×2</t>
        </is>
      </c>
    </row>
    <row r="26">
      <c r="A26" t="inlineStr">
        <is>
          <t>2 рамы (только по колоннам), подвеска + подкосы фермы, попер. подкосы, без связей</t>
        </is>
      </c>
      <c r="B26" t="n">
        <v>205748</v>
      </c>
      <c r="C26" t="n">
        <v>66759</v>
      </c>
      <c r="D26" t="n">
        <v>1105</v>
      </c>
      <c r="E26" t="inlineStr">
        <is>
          <t>Подкосы фермы: □30×20×2; Колонны: □140×140×4; Стропила: □120×80×3; Обрешётка: □70×70×2; Подкосы колонна→затяжка: □40×20×2; Затяжки: □45×45×3; Подвеска (стойка у конька): □20×20×2</t>
        </is>
      </c>
    </row>
    <row r="27">
      <c r="A27" t="inlineStr">
        <is>
          <t>2 рамы (только по колоннам), обвязка, подвеска + подкосы фермы, без попер. подкосов, без связей</t>
        </is>
      </c>
      <c r="B27" t="n">
        <v>205957</v>
      </c>
      <c r="C27" t="n">
        <v>67453</v>
      </c>
      <c r="D27" t="n">
        <v>1114</v>
      </c>
      <c r="E27" t="inlineStr">
        <is>
          <t>Подкосы фермы: □30×20×2; Колонны: □140×140×4; Стропила: □120×80×3; Продольная обвязка: □35×35×2; Обрешётка: □70×70×2; Затяжки: □60×60×2; Подвеска (стойка у конька): □20×20×2</t>
        </is>
      </c>
    </row>
    <row r="28">
      <c r="A28" t="inlineStr">
        <is>
          <t>2 рамы (только по колоннам), обвязка + прод. подкосы, подвеска, попер. подкосы, без связей</t>
        </is>
      </c>
      <c r="B28" t="n">
        <v>206733</v>
      </c>
      <c r="C28" t="n">
        <v>67020</v>
      </c>
      <c r="D28" t="n">
        <v>1099</v>
      </c>
      <c r="E28" t="inlineStr">
        <is>
          <t>Продольные подкосы: □30×20×2; Колонны: □100×100×3,8; Стропила: □160×80×4; Продольная обвязка: □60×40×2; Обрешётка: □70×70×2; Подкосы колонна→затяжка: □30×20×2; Затяжки: □40×40×2,1; Подвеска (стойка у конька): □20×20×2</t>
        </is>
      </c>
    </row>
    <row r="29">
      <c r="A29" t="inlineStr">
        <is>
          <t>2 рамы (только по колоннам), обвязка, подвеска + подкосы фермы, попер. подкосы, без связей</t>
        </is>
      </c>
      <c r="B29" t="n">
        <v>208302</v>
      </c>
      <c r="C29" t="n">
        <v>67928</v>
      </c>
      <c r="D29" t="n">
        <v>1123</v>
      </c>
      <c r="E29" t="inlineStr">
        <is>
          <t>Подкосы фермы: □30×20×2; Колонны: □140×140×4; Стропила: □120×80×3; Продольная обвязка: □35×35×2; Обрешётка: □70×70×2; Подкосы колонна→затяжка: □40×20×2; Затяжки: □45×45×3; Подвеска (стойка у конька): □20×20×2</t>
        </is>
      </c>
    </row>
    <row r="30">
      <c r="A30" t="inlineStr">
        <is>
          <t>2 рамы (только по колоннам), обвязка, подвеска + подкосы фермы, без попер. подкосов, связи по скатам</t>
        </is>
      </c>
      <c r="B30" t="n">
        <v>210166</v>
      </c>
      <c r="C30" t="n">
        <v>64414</v>
      </c>
      <c r="D30" t="n">
        <v>1059</v>
      </c>
      <c r="E30" t="inlineStr">
        <is>
          <t>Подкосы фермы: □30×20×2; Колонны: □140×100×4; Связи по скатам: □70×70×2; Стропила: □120×80×3; Продольная обвязка: □35×35×2; Обрешётка: □60×60×2; Затяжки: □50×50×2; Подвеска (стойка у конька): □20×20×2</t>
        </is>
      </c>
    </row>
    <row r="31">
      <c r="A31" t="inlineStr">
        <is>
          <t>2 рамы (только по колоннам), обвязка + прод. подкосы, подвеска + подкосы фермы, без попер. подкосов, связи по скатам</t>
        </is>
      </c>
      <c r="B31" t="n">
        <v>210815</v>
      </c>
      <c r="C31" t="n">
        <v>63203</v>
      </c>
      <c r="D31" t="n">
        <v>1019</v>
      </c>
      <c r="E31" t="inlineStr">
        <is>
          <t>Подкосы фермы: □30×20×2; Продольные подкосы: □30×20×2; Колонны: □100×100×3,8; Связи по скатам: □70×70×2; Стропила: □100×100×2,8; Продольная обвязка: □60×40×2; Обрешётка: □60×60×2; Затяжки: □50×50×2; Подвеска (стойка у конька): □25×25×2</t>
        </is>
      </c>
    </row>
    <row r="32">
      <c r="A32" t="inlineStr">
        <is>
          <t>2 рамы (только по колоннам), обвязка, подвеска, без попер. подкосов, связи по скатам</t>
        </is>
      </c>
      <c r="B32" t="n">
        <v>210850</v>
      </c>
      <c r="C32" t="n">
        <v>66996</v>
      </c>
      <c r="D32" t="n">
        <v>1112</v>
      </c>
      <c r="E32" t="inlineStr">
        <is>
          <t>Колонны: □140×100×4; Связи по скатам: □90×30×2; Стропила: □160×80×4; Продольная обвязка: □35×35×2; Обрешётка: □60×60×2; Затяжки: □50×50×2; Подвеска (стойка у конька): □20×20×2</t>
        </is>
      </c>
    </row>
    <row r="33">
      <c r="A33" t="inlineStr">
        <is>
          <t>2 рамы (только по колоннам), обвязка + прод. подкосы, подвеска, без попер. подкосов, связи по скатам</t>
        </is>
      </c>
      <c r="B33" t="n">
        <v>211326</v>
      </c>
      <c r="C33" t="n">
        <v>65578</v>
      </c>
      <c r="D33" t="n">
        <v>1062</v>
      </c>
      <c r="E33" t="inlineStr">
        <is>
          <t>Продольные подкосы: □30×20×2; Колонны: □120×120×3; Связи по скатам: □90×30×2; Стропила: □160×80×4; Продольная обвязка: □30×20×2 пл.; Обрешётка: □60×60×2; Затяжки: □50×50×2; Подвеска (стойка у конька): □20×20×2</t>
        </is>
      </c>
    </row>
    <row r="34">
      <c r="A34" t="inlineStr">
        <is>
          <t>2 рамы (только по колоннам), обвязка, подвеска + подкосы фермы, попер. подкосы, связи по скатам</t>
        </is>
      </c>
      <c r="B34" t="n">
        <v>211849</v>
      </c>
      <c r="C34" t="n">
        <v>64254</v>
      </c>
      <c r="D34" t="n">
        <v>1057</v>
      </c>
      <c r="E34" t="inlineStr">
        <is>
          <t>Подкосы фермы: □30×20×2; Колонны: □140×100×4; Связи по скатам: □70×70×2; Стропила: □120×80×3;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5">
      <c r="A35" t="inlineStr">
        <is>
          <t>2 рамы (только по колоннам), подвеска + подкосы фермы, без попер. подкосов, связи по скатам</t>
        </is>
      </c>
      <c r="B35" t="n">
        <v>212115</v>
      </c>
      <c r="C35" t="n">
        <v>66573</v>
      </c>
      <c r="D35" t="n">
        <v>1096</v>
      </c>
      <c r="E35" t="inlineStr">
        <is>
          <t>Подкосы фермы: □30×20×2; Колонны: □140×140×4; Связи по скатам: □80×80×2; Стропила: □120×80×3; Обрешётка: □60×60×2; Затяжки: □50×50×2; Подвеска (стойка у конька): □20×20×2</t>
        </is>
      </c>
    </row>
    <row r="36">
      <c r="A36" t="inlineStr">
        <is>
          <t>2 рамы (только по колоннам), обвязка, подвеска, попер. подкосы, связи по скатам</t>
        </is>
      </c>
      <c r="B36" t="n">
        <v>212534</v>
      </c>
      <c r="C36" t="n">
        <v>66836</v>
      </c>
      <c r="D36" t="n">
        <v>1111</v>
      </c>
      <c r="E36" t="inlineStr">
        <is>
          <t>Колонны: □140×100×4; Связи по скатам: □90×30×2; Стропила: □160×80×4; Продольная обвязка: □35×35×2; Обрешётка: □60×60×2; Подкосы колонна→затяжка: □30×20×2; Затяжки: □40×40×2; Подвеска (стойка у конька): □20×20×2</t>
        </is>
      </c>
    </row>
    <row r="37">
      <c r="A37" t="inlineStr">
        <is>
          <t>2 рамы (только по колоннам), обвязка + прод. подкосы, подвеска, попер. подкосы, связи по скатам</t>
        </is>
      </c>
      <c r="B37" t="n">
        <v>212608</v>
      </c>
      <c r="C37" t="n">
        <v>65224</v>
      </c>
      <c r="D37" t="n">
        <v>1054</v>
      </c>
      <c r="E37" t="inlineStr">
        <is>
          <t>Продольные подкосы: □30×20×2; Колонны: □120×120×3; Связи по скатам: □80×30×2; Стропила: □160×80×4; Продольная обвязка: □30×20×2 пл.; Обрешётка: □60×60×2; Подкосы колонна→затяжка: □30×20×2; Затяжки: □40×40×2; Подвеска (стойка у конька): □20×20×2</t>
        </is>
      </c>
    </row>
    <row r="38">
      <c r="A38" t="inlineStr">
        <is>
          <t>2 рамы (только по колоннам), подвеска, без попер. подкосов, связи по скатам</t>
        </is>
      </c>
      <c r="B38" t="n">
        <v>212658</v>
      </c>
      <c r="C38" t="n">
        <v>68904</v>
      </c>
      <c r="D38" t="n">
        <v>1136</v>
      </c>
      <c r="E38" t="inlineStr">
        <is>
          <t>Колонны: □140×140×4; Связи по скатам: □80×80×2; Стропила: □120×80×4; Обрешётка: □60×60×2; Затяжки: □60×60×2; Подвеска (стойка у конька): □20×20×2</t>
        </is>
      </c>
    </row>
    <row r="39">
      <c r="A39" t="inlineStr">
        <is>
          <t>2 рамы (только по колоннам), обвязка + прод. подкосы, подвеска + подкосы фермы, попер. подкосы, связи по скатам</t>
        </is>
      </c>
      <c r="B39" t="n">
        <v>212770</v>
      </c>
      <c r="C39" t="n">
        <v>63146</v>
      </c>
      <c r="D39" t="n">
        <v>1019</v>
      </c>
      <c r="E39" t="inlineStr">
        <is>
          <t>Подкосы фермы: □30×20×2; Продольные подкосы: □25×25×2; Колонны: □100×100×3,8; Связи по скатам: □70×70×2; Стропила: □100×100×2,8; Продольная обвязка: □60×40×2; Обрешётка: □60×60×2; Подкосы колонна→затяжка: □30×20×2; Затяжки: □40×40×2; Подвеска (стойка у конька): □40×40×2</t>
        </is>
      </c>
    </row>
    <row r="40">
      <c r="A40" t="inlineStr">
        <is>
          <t>2 рамы (только по колоннам), подвеска + подкосы фермы, попер. подкосы, связи по скатам</t>
        </is>
      </c>
      <c r="B40" t="n">
        <v>213997</v>
      </c>
      <c r="C40" t="n">
        <v>66492</v>
      </c>
      <c r="D40" t="n">
        <v>1096</v>
      </c>
      <c r="E40" t="inlineStr">
        <is>
          <t>Подкосы фермы: □30×20×2; Колонны: □140×140×4; Связи по скатам: □80×80×2; Стропила: □120×80×3; Обрешётка: □60×60×2; Подкосы колонна→затяжка: □40×20×2; Затяжки: □40×40×2; Подвеска (стойка у конька): □20×20×2</t>
        </is>
      </c>
    </row>
    <row r="41">
      <c r="A41" t="inlineStr">
        <is>
          <t>2 рамы (только по колоннам), подвеска, попер. подкосы, связи по скатам</t>
        </is>
      </c>
      <c r="B41" t="n">
        <v>215202</v>
      </c>
      <c r="C41" t="n">
        <v>69149</v>
      </c>
      <c r="D41" t="n">
        <v>1138</v>
      </c>
      <c r="E41" t="inlineStr">
        <is>
          <t>Колонны: □140×140×4; Связи по скатам: □80×80×2; Стропила: □120×80×4; Обрешётка: □60×60×2; Подкосы колонна→затяжка: □40×20×2; Затяжки: □50×50×2; Подвеска (стойка у конька): □50×50×2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2" customWidth="1" min="3" max="3"/>
    <col width="30" customWidth="1" min="4" max="4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Источник</t>
        </is>
      </c>
    </row>
    <row r="2">
      <c r="A2" t="inlineStr">
        <is>
          <t>S0 (Харків)</t>
        </is>
      </c>
      <c r="B2" t="n">
        <v>1600</v>
      </c>
      <c r="C2" t="inlineStr">
        <is>
          <t>Па</t>
        </is>
      </c>
      <c r="D2" t="inlineStr">
        <is>
          <t>ДБН В.1.2-2, дод. Е</t>
        </is>
      </c>
    </row>
    <row r="3">
      <c r="A3" t="inlineStr">
        <is>
          <t>γfm снег (T=50)</t>
        </is>
      </c>
      <c r="B3" t="n">
        <v>1</v>
      </c>
      <c r="C3" t="inlineStr"/>
      <c r="D3" t="inlineStr">
        <is>
          <t>табл. 8.1</t>
        </is>
      </c>
    </row>
    <row r="4">
      <c r="A4" t="inlineStr">
        <is>
          <t>γfe снег (η=0.02)</t>
        </is>
      </c>
      <c r="B4" t="n">
        <v>0.49</v>
      </c>
      <c r="C4" t="inlineStr"/>
      <c r="D4" t="inlineStr">
        <is>
          <t>табл. 8.3</t>
        </is>
      </c>
    </row>
    <row r="5">
      <c r="A5" t="inlineStr">
        <is>
          <t>W0 (Харків)</t>
        </is>
      </c>
      <c r="B5" t="n">
        <v>430</v>
      </c>
      <c r="C5" t="inlineStr">
        <is>
          <t>Па</t>
        </is>
      </c>
      <c r="D5" t="inlineStr">
        <is>
          <t>дод. Е</t>
        </is>
      </c>
    </row>
    <row r="6">
      <c r="A6" t="inlineStr">
        <is>
          <t>γfm ветер (T=50)</t>
        </is>
      </c>
      <c r="B6" t="n">
        <v>1</v>
      </c>
      <c r="C6" t="inlineStr"/>
      <c r="D6" t="inlineStr">
        <is>
          <t>табл. 9.1</t>
        </is>
      </c>
    </row>
    <row r="7">
      <c r="A7" t="inlineStr">
        <is>
          <t>γfe ветер (η=0.02)</t>
        </is>
      </c>
      <c r="B7" t="n">
        <v>0.21</v>
      </c>
      <c r="C7" t="inlineStr"/>
      <c r="D7" t="inlineStr">
        <is>
          <t>табл. 9.3</t>
        </is>
      </c>
    </row>
    <row r="8">
      <c r="A8" t="inlineStr">
        <is>
          <t>Ch (тип III, z≤5 м)</t>
        </is>
      </c>
      <c r="B8" t="n">
        <v>0.4</v>
      </c>
      <c r="C8" t="inlineStr"/>
      <c r="D8" t="inlineStr">
        <is>
          <t>табл. 9.01</t>
        </is>
      </c>
    </row>
    <row r="9">
      <c r="A9" t="inlineStr">
        <is>
          <t>Ce навес тип I, 12°</t>
        </is>
      </c>
      <c r="B9" t="inlineStr">
        <is>
          <t>+0.62/−1.04/−0.88/−0.08</t>
        </is>
      </c>
      <c r="C9" t="inlineStr"/>
      <c r="D9" t="inlineStr">
        <is>
          <t>схема 11 дод. И</t>
        </is>
      </c>
    </row>
    <row r="10">
      <c r="A10" t="inlineStr">
        <is>
          <t>Cf (трение)</t>
        </is>
      </c>
      <c r="B10" t="n">
        <v>0.04</v>
      </c>
      <c r="C10" t="inlineStr"/>
      <c r="D10" t="inlineStr">
        <is>
          <t>прим. 2 к схеме 11</t>
        </is>
      </c>
    </row>
    <row r="11">
      <c r="A11" t="inlineStr">
        <is>
          <t>Кровля (металлочерепица)</t>
        </is>
      </c>
      <c r="B11" t="n">
        <v>50</v>
      </c>
      <c r="C11" t="inlineStr">
        <is>
          <t>Па по скату</t>
        </is>
      </c>
      <c r="D11" t="inlineStr">
        <is>
          <t>γf = 1.05 (0.95)</t>
        </is>
      </c>
    </row>
    <row r="12">
      <c r="A12" t="inlineStr">
        <is>
          <t>Сталь, γf</t>
        </is>
      </c>
      <c r="B12" t="n">
        <v>1.05</v>
      </c>
      <c r="C12" t="inlineStr"/>
      <c r="D12" t="inlineStr">
        <is>
          <t>табл. 5.1</t>
        </is>
      </c>
    </row>
    <row r="13">
      <c r="A13" t="inlineStr">
        <is>
          <t>ψ кратковр. 1/2</t>
        </is>
      </c>
      <c r="B13" t="inlineStr">
        <is>
          <t>1.0 / 0.9</t>
        </is>
      </c>
      <c r="C13" t="inlineStr"/>
      <c r="D13" t="inlineStr">
        <is>
          <t>п. 4.18</t>
        </is>
      </c>
    </row>
    <row r="14">
      <c r="A14" t="inlineStr">
        <is>
          <t>γn (СС1)</t>
        </is>
      </c>
      <c r="B14" t="n">
        <v>1</v>
      </c>
      <c r="C14" t="inlineStr"/>
      <c r="D14" t="inlineStr">
        <is>
          <t>ДБН В.1.2-14</t>
        </is>
      </c>
    </row>
    <row r="15">
      <c r="A15" t="inlineStr">
        <is>
          <t>Ry</t>
        </is>
      </c>
      <c r="B15" t="n">
        <v>230</v>
      </c>
      <c r="C15" t="inlineStr">
        <is>
          <t>МПа</t>
        </is>
      </c>
      <c r="D15" t="inlineStr">
        <is>
          <t>С235/S235JR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2026-09-27T18:09:46Z</dcterms:created>
  <dcterms:modified xsi:type="dcterms:W3CDTF">2026-09-27T18:09:46Z</dcterms:modified>
</cp:coreProperties>
</file>