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Ведомость металла" sheetId="2" state="visible" r:id="rId2"/>
    <sheet xmlns:r="http://schemas.openxmlformats.org/officeDocument/2006/relationships" name="Детали" sheetId="3" state="visible" r:id="rId3"/>
    <sheet xmlns:r="http://schemas.openxmlformats.org/officeDocument/2006/relationships" name="Раскрой на хлысты" sheetId="4" state="visible" r:id="rId4"/>
    <sheet xmlns:r="http://schemas.openxmlformats.org/officeDocument/2006/relationships" name="Металлочерепица" sheetId="5" state="visible" r:id="rId5"/>
    <sheet xmlns:r="http://schemas.openxmlformats.org/officeDocument/2006/relationships" name="Пластины" sheetId="6" state="visible" r:id="rId6"/>
    <sheet xmlns:r="http://schemas.openxmlformats.org/officeDocument/2006/relationships" name="Проверки" sheetId="7" state="visible" r:id="rId7"/>
    <sheet xmlns:r="http://schemas.openxmlformats.org/officeDocument/2006/relationships" name="Варианты схем" sheetId="8" state="visible" r:id="rId8"/>
    <sheet xmlns:r="http://schemas.openxmlformats.org/officeDocument/2006/relationships" name="Нагруз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2" customWidth="1" min="4" max="4"/>
    <col width="34" customWidth="1" min="5" max="5"/>
  </cols>
  <sheetData>
    <row r="1">
      <c r="A1" s="1" t="inlineStr">
        <is>
          <t>Статья</t>
        </is>
      </c>
      <c r="B1" s="1" t="inlineStr">
        <is>
          <t>Было (черновик), грн</t>
        </is>
      </c>
      <c r="C1" s="1" t="inlineStr">
        <is>
          <t>Стало, грн</t>
        </is>
      </c>
      <c r="D1" s="1" t="inlineStr">
        <is>
          <t>Δ, грн</t>
        </is>
      </c>
      <c r="E1" s="1" t="inlineStr">
        <is>
          <t>Как пересчитано</t>
        </is>
      </c>
    </row>
    <row r="2">
      <c r="A2" t="inlineStr">
        <is>
          <t>Профильные трубы (по метражу, прайс)</t>
        </is>
      </c>
      <c r="B2" t="n">
        <v>75812</v>
      </c>
      <c r="C2" t="n">
        <v>48497</v>
      </c>
      <c r="D2">
        <f>C2-B2</f>
        <v/>
      </c>
      <c r="E2" t="inlineStr">
        <is>
          <t>по ведомости</t>
        </is>
      </c>
    </row>
    <row r="3">
      <c r="A3" t="inlineStr">
        <is>
          <t>Пластины (фасонки, крышки колонн)</t>
        </is>
      </c>
      <c r="B3" t="n">
        <v>1647</v>
      </c>
      <c r="C3" t="n">
        <v>1658</v>
      </c>
      <c r="D3">
        <f>C3-B3</f>
        <v/>
      </c>
      <c r="E3" t="inlineStr">
        <is>
          <t>по ведомости</t>
        </is>
      </c>
    </row>
    <row r="4">
      <c r="A4" t="inlineStr">
        <is>
          <t>Арматура для лунок</t>
        </is>
      </c>
      <c r="B4" t="n">
        <v>3000</v>
      </c>
      <c r="C4" t="n">
        <v>0</v>
      </c>
      <c r="D4">
        <f>C4-B4</f>
        <v/>
      </c>
      <c r="E4" t="inlineStr">
        <is>
          <t>без изменений</t>
        </is>
      </c>
    </row>
    <row r="5">
      <c r="A5" t="inlineStr">
        <is>
          <t>Бетон В20 для лунок</t>
        </is>
      </c>
      <c r="B5" t="n">
        <v>8900</v>
      </c>
      <c r="C5" t="n">
        <v>8900</v>
      </c>
      <c r="D5">
        <f>C5-B5</f>
        <v/>
      </c>
      <c r="E5" t="inlineStr">
        <is>
          <t>без изменений</t>
        </is>
      </c>
    </row>
    <row r="6">
      <c r="A6" t="inlineStr">
        <is>
          <t>Металлочерепица</t>
        </is>
      </c>
      <c r="B6" t="n">
        <v>24750</v>
      </c>
      <c r="C6" t="n">
        <v>24750</v>
      </c>
      <c r="D6">
        <f>C6-B6</f>
        <v/>
      </c>
      <c r="E6" t="inlineStr">
        <is>
          <t>вне оптимизации (без изменений)</t>
        </is>
      </c>
    </row>
    <row r="7">
      <c r="A7" t="inlineStr">
        <is>
          <t>Конёк</t>
        </is>
      </c>
      <c r="B7" t="n">
        <v>2400</v>
      </c>
      <c r="C7" t="n">
        <v>2400</v>
      </c>
      <c r="D7">
        <f>C7-B7</f>
        <v/>
      </c>
      <c r="E7" t="inlineStr">
        <is>
          <t>вне оптимизации (без изменений)</t>
        </is>
      </c>
    </row>
    <row r="8">
      <c r="A8" t="inlineStr">
        <is>
          <t>Торцевые планки</t>
        </is>
      </c>
      <c r="B8" t="n">
        <v>3600</v>
      </c>
      <c r="C8" t="n">
        <v>3600</v>
      </c>
      <c r="D8">
        <f>C8-B8</f>
        <v/>
      </c>
      <c r="E8" t="inlineStr">
        <is>
          <t>вне оптимизации (без изменений)</t>
        </is>
      </c>
    </row>
    <row r="9">
      <c r="A9" t="inlineStr">
        <is>
          <t>Саморезы и уплотнитель</t>
        </is>
      </c>
      <c r="B9" t="n">
        <v>1200</v>
      </c>
      <c r="C9" t="n">
        <v>1200</v>
      </c>
      <c r="D9">
        <f>C9-B9</f>
        <v/>
      </c>
      <c r="E9" t="inlineStr">
        <is>
          <t>вне оптимизации (без изменений)</t>
        </is>
      </c>
    </row>
    <row r="10">
      <c r="A10" t="inlineStr">
        <is>
          <t>Водосточная система</t>
        </is>
      </c>
      <c r="B10" t="n">
        <v>18700</v>
      </c>
      <c r="C10" t="n">
        <v>18700</v>
      </c>
      <c r="D10">
        <f>C10-B10</f>
        <v/>
      </c>
      <c r="E10" t="inlineStr">
        <is>
          <t>вне оптимизации (без изменений)</t>
        </is>
      </c>
    </row>
    <row r="11">
      <c r="A11" t="inlineStr">
        <is>
          <t>Грунт-эмаль (окраска)</t>
        </is>
      </c>
      <c r="B11" t="n">
        <v>5500</v>
      </c>
      <c r="C11" t="n">
        <v>4274</v>
      </c>
      <c r="D11">
        <f>C11-B11</f>
        <v/>
      </c>
      <c r="E11" t="inlineStr">
        <is>
          <t>∝ площади окраски</t>
        </is>
      </c>
    </row>
    <row r="12">
      <c r="A12" t="inlineStr">
        <is>
          <t>Сварочные расходники, круги, свёрла</t>
        </is>
      </c>
      <c r="B12" t="n">
        <v>6600</v>
      </c>
      <c r="C12" t="n">
        <v>5389</v>
      </c>
      <c r="D12">
        <f>C12-B12</f>
        <v/>
      </c>
      <c r="E12" t="inlineStr">
        <is>
          <t>∝ длине швов</t>
        </is>
      </c>
    </row>
    <row r="13">
      <c r="A13" t="inlineStr">
        <is>
          <t>Мелкий металл, непредвиденное</t>
        </is>
      </c>
      <c r="B13" t="n">
        <v>1620</v>
      </c>
      <c r="C13" t="n">
        <v>1620</v>
      </c>
      <c r="D13">
        <f>C13-B13</f>
        <v/>
      </c>
      <c r="E13" t="inlineStr">
        <is>
          <t>без изменений</t>
        </is>
      </c>
    </row>
    <row r="14">
      <c r="A14" t="inlineStr">
        <is>
          <t>Доставка</t>
        </is>
      </c>
      <c r="B14" t="n">
        <v>6000</v>
      </c>
      <c r="C14" t="n">
        <v>6000</v>
      </c>
      <c r="D14">
        <f>C14-B14</f>
        <v/>
      </c>
      <c r="E14" t="inlineStr">
        <is>
          <t>вне оптимизации (без изменений)</t>
        </is>
      </c>
    </row>
    <row r="15">
      <c r="A15" t="inlineStr">
        <is>
          <t>Работа: копка лунок</t>
        </is>
      </c>
      <c r="B15" t="n">
        <v>7000</v>
      </c>
      <c r="C15" t="n">
        <v>7000</v>
      </c>
      <c r="D15">
        <f>C15-B15</f>
        <v/>
      </c>
      <c r="E15" t="inlineStr">
        <is>
          <t>без изменений</t>
        </is>
      </c>
    </row>
    <row r="16">
      <c r="A16" t="inlineStr">
        <is>
          <t>Работа: армирование и бетонирование</t>
        </is>
      </c>
      <c r="B16" t="n">
        <v>6000</v>
      </c>
      <c r="C16" t="n">
        <v>6000</v>
      </c>
      <c r="D16">
        <f>C16-B16</f>
        <v/>
      </c>
      <c r="E16" t="inlineStr">
        <is>
          <t>без изменений</t>
        </is>
      </c>
    </row>
    <row r="17">
      <c r="A17" t="inlineStr">
        <is>
          <t>Работа: изготовление ферм и каркаса</t>
        </is>
      </c>
      <c r="B17" t="n">
        <v>24000</v>
      </c>
      <c r="C17" t="n">
        <v>21500</v>
      </c>
      <c r="D17">
        <f>C17-B17</f>
        <v/>
      </c>
      <c r="E17" t="inlineStr">
        <is>
          <t>∝ трудоёмкости</t>
        </is>
      </c>
    </row>
    <row r="18">
      <c r="A18" t="inlineStr">
        <is>
          <t>Работа: окраска</t>
        </is>
      </c>
      <c r="B18" t="n">
        <v>7000</v>
      </c>
      <c r="C18" t="n">
        <v>5440</v>
      </c>
      <c r="D18">
        <f>C18-B18</f>
        <v/>
      </c>
      <c r="E18" t="inlineStr">
        <is>
          <t>∝ площади окраски</t>
        </is>
      </c>
    </row>
    <row r="19">
      <c r="A19" t="inlineStr">
        <is>
          <t>Работа: монтаж каркаса</t>
        </is>
      </c>
      <c r="B19" t="n">
        <v>15000</v>
      </c>
      <c r="C19" t="n">
        <v>13437</v>
      </c>
      <c r="D19">
        <f>C19-B19</f>
        <v/>
      </c>
      <c r="E19" t="inlineStr">
        <is>
          <t>∝ трудоёмкости</t>
        </is>
      </c>
    </row>
    <row r="20">
      <c r="A20" t="inlineStr">
        <is>
          <t>Работа: монтаж кровли</t>
        </is>
      </c>
      <c r="B20" t="n">
        <v>7000</v>
      </c>
      <c r="C20" t="n">
        <v>7000</v>
      </c>
      <c r="D20">
        <f>C20-B20</f>
        <v/>
      </c>
      <c r="E20" t="inlineStr">
        <is>
          <t>вне оптимизации (без изменений)</t>
        </is>
      </c>
    </row>
    <row r="21">
      <c r="A21" t="inlineStr">
        <is>
          <t>Работа: водосток</t>
        </is>
      </c>
      <c r="B21" t="n">
        <v>4000</v>
      </c>
      <c r="C21" t="n">
        <v>4000</v>
      </c>
      <c r="D21">
        <f>C21-B21</f>
        <v/>
      </c>
      <c r="E21" t="inlineStr">
        <is>
          <t>вне оптимизации (без изменений)</t>
        </is>
      </c>
    </row>
    <row r="22">
      <c r="A22" t="inlineStr">
        <is>
          <t>Работа: доп. изготовление и монтаж</t>
        </is>
      </c>
      <c r="B22" t="n">
        <v>7000</v>
      </c>
      <c r="C22" t="n">
        <v>6271</v>
      </c>
      <c r="D22">
        <f>C22-B22</f>
        <v/>
      </c>
      <c r="E22" t="inlineStr">
        <is>
          <t>∝ трудоёмкости</t>
        </is>
      </c>
    </row>
    <row r="23">
      <c r="A23" s="2" t="inlineStr">
        <is>
          <t>ИТОГО</t>
        </is>
      </c>
      <c r="B23" s="2">
        <f>SUM(B2:B22)</f>
        <v/>
      </c>
      <c r="C23" s="2">
        <f>SUM(C2:C22)</f>
        <v/>
      </c>
      <c r="D23" s="2">
        <f>SUM(D2:D22)</f>
        <v/>
      </c>
    </row>
    <row r="25">
      <c r="A25" t="inlineStr">
        <is>
          <t>Смета xlsx (исходная, для справки): итог 239 730 грн, трубы 80 460 грн.</t>
        </is>
      </c>
    </row>
    <row r="26">
      <c r="A26" t="inlineStr">
        <is>
          <t>Масса металла: было 1226 кг, стало 834 кг; площадь окраски 57.6 → 44.7 м²; швы 37.6 → 30.7 м; деталей 84 → 84.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0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Профиль</t>
        </is>
      </c>
      <c r="B1" s="1" t="inlineStr">
        <is>
          <t>Назначение</t>
        </is>
      </c>
      <c r="C1" s="1" t="inlineStr">
        <is>
          <t>Длина, м (с пропилами)</t>
        </is>
      </c>
      <c r="D1" s="1" t="inlineStr">
        <is>
          <t>Заготовок</t>
        </is>
      </c>
      <c r="E1" s="1" t="inlineStr">
        <is>
          <t>Масса, кг</t>
        </is>
      </c>
      <c r="F1" s="1" t="inlineStr">
        <is>
          <t>Цена, грн/м</t>
        </is>
      </c>
      <c r="G1" s="1" t="inlineStr">
        <is>
          <t>Стоимость, грн</t>
        </is>
      </c>
    </row>
    <row r="2">
      <c r="A2" t="inlineStr">
        <is>
          <t>□35×35×2</t>
        </is>
      </c>
      <c r="B2" t="inlineStr">
        <is>
          <t>Обрешётка</t>
        </is>
      </c>
      <c r="C2" t="n">
        <v>132.73</v>
      </c>
      <c r="D2" t="n">
        <v>38</v>
      </c>
      <c r="E2" t="n">
        <v>264.3</v>
      </c>
      <c r="F2" t="n">
        <v>127</v>
      </c>
      <c r="G2" t="n">
        <v>16857</v>
      </c>
    </row>
    <row r="3">
      <c r="A3" t="inlineStr">
        <is>
          <t>□100×60×4</t>
        </is>
      </c>
      <c r="B3" t="inlineStr">
        <is>
          <t>Колонны</t>
        </is>
      </c>
      <c r="C3" t="n">
        <v>17.5</v>
      </c>
      <c r="D3" t="n">
        <v>4</v>
      </c>
      <c r="E3" t="n">
        <v>161.4</v>
      </c>
      <c r="F3" t="n">
        <v>540</v>
      </c>
      <c r="G3" t="n">
        <v>9452</v>
      </c>
    </row>
    <row r="4">
      <c r="A4" t="inlineStr">
        <is>
          <t>□100×60×3</t>
        </is>
      </c>
      <c r="B4" t="inlineStr">
        <is>
          <t>Стропила</t>
        </is>
      </c>
      <c r="C4" t="n">
        <v>20.75</v>
      </c>
      <c r="D4" t="n">
        <v>6</v>
      </c>
      <c r="E4" t="n">
        <v>146.7</v>
      </c>
      <c r="F4" t="n">
        <v>428</v>
      </c>
      <c r="G4" t="n">
        <v>8879</v>
      </c>
    </row>
    <row r="5">
      <c r="A5" t="inlineStr">
        <is>
          <t>□60×60×2</t>
        </is>
      </c>
      <c r="B5" t="inlineStr">
        <is>
          <t>Затяжки, Коньковая обрешётина, Нижний пояс боковой фермы, Раскосы боковой фермы</t>
        </is>
      </c>
      <c r="C5" t="n">
        <v>36.09</v>
      </c>
      <c r="D5" t="n">
        <v>11</v>
      </c>
      <c r="E5" t="n">
        <v>128.5</v>
      </c>
      <c r="F5" t="n">
        <v>226</v>
      </c>
      <c r="G5" t="n">
        <v>8157</v>
      </c>
    </row>
    <row r="6">
      <c r="A6" t="inlineStr">
        <is>
          <t>□50×30×2</t>
        </is>
      </c>
      <c r="B6" t="inlineStr">
        <is>
          <t>Карнизные обрешётины, Торцевая обвязка обрешётки</t>
        </is>
      </c>
      <c r="C6" t="n">
        <v>27.75</v>
      </c>
      <c r="D6" t="n">
        <v>8</v>
      </c>
      <c r="E6" t="n">
        <v>64</v>
      </c>
      <c r="F6" t="n">
        <v>150</v>
      </c>
      <c r="G6" t="n">
        <v>4163</v>
      </c>
    </row>
    <row r="7">
      <c r="A7" t="inlineStr">
        <is>
          <t>□20×20×2</t>
        </is>
      </c>
      <c r="B7" t="inlineStr">
        <is>
          <t>Доп. решётка ферм у опор, Подвеска (стойка у конька), Подкосы фермы</t>
        </is>
      </c>
      <c r="C7" t="n">
        <v>14.67</v>
      </c>
      <c r="D7" t="n">
        <v>15</v>
      </c>
      <c r="E7" t="n">
        <v>15.4</v>
      </c>
      <c r="F7" t="n">
        <v>67.40000000000001</v>
      </c>
      <c r="G7" t="n">
        <v>989</v>
      </c>
    </row>
    <row r="8">
      <c r="A8" t="inlineStr">
        <is>
          <t>ИТОГО трубы</t>
        </is>
      </c>
      <c r="C8">
        <f>SUM(C2:C7)</f>
        <v/>
      </c>
      <c r="E8">
        <f>SUM(E2:E7)</f>
        <v/>
      </c>
      <c r="G8">
        <f>SUM(G2:G7)</f>
        <v/>
      </c>
    </row>
    <row r="9">
      <c r="A9" t="inlineStr">
        <is>
          <t>Пластины (фасонки, крышки колонн): 30.1 кг × 55 грн/кг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8" customWidth="1" min="4" max="4"/>
    <col width="10" customWidth="1" min="5" max="5"/>
    <col width="70" customWidth="1" min="6" max="6"/>
  </cols>
  <sheetData>
    <row r="1">
      <c r="A1" s="1" t="inlineStr">
        <is>
          <t>Заготовка</t>
        </is>
      </c>
      <c r="B1" s="1" t="inlineStr">
        <is>
          <t>Сечение</t>
        </is>
      </c>
      <c r="C1" s="1" t="inlineStr">
        <is>
          <t>Длина реза, м</t>
        </is>
      </c>
      <c r="D1" s="1" t="inlineStr">
        <is>
          <t>Кол-во</t>
        </is>
      </c>
      <c r="E1" s="1" t="inlineStr">
        <is>
          <t>Масса, кг</t>
        </is>
      </c>
      <c r="F1" s="1" t="inlineStr">
        <is>
          <t>Торцы</t>
        </is>
      </c>
    </row>
    <row r="2">
      <c r="A2" t="inlineStr">
        <is>
          <t>Колонна Л1</t>
        </is>
      </c>
      <c r="B2" t="inlineStr">
        <is>
          <t>□100×60×4</t>
        </is>
      </c>
      <c r="C2" t="n">
        <v>4.203</v>
      </c>
      <c r="D2" t="n">
        <v>1</v>
      </c>
      <c r="E2" t="n">
        <v>38.8</v>
      </c>
      <c r="F2" t="inlineStr">
        <is>
          <t>низ — прямой рез (+ заглушка), верх — под 12° по низу стропила; в бетоне 1.10 м (на всю глубину лунки, низ на 10 см выше дна)</t>
        </is>
      </c>
    </row>
    <row r="3">
      <c r="A3" t="inlineStr">
        <is>
          <t>Колонна Л3</t>
        </is>
      </c>
      <c r="B3" t="inlineStr">
        <is>
          <t>□100×60×4</t>
        </is>
      </c>
      <c r="C3" t="n">
        <v>4.393</v>
      </c>
      <c r="D3" t="n">
        <v>1</v>
      </c>
      <c r="E3" t="n">
        <v>40.5</v>
      </c>
      <c r="F3" t="inlineStr">
        <is>
          <t>низ — прямой рез (+ заглушка), верх — под 12° по низу стропила; в бетоне 1.10 м (на всю глубину лунки, низ на 10 см выше дна)</t>
        </is>
      </c>
    </row>
    <row r="4">
      <c r="A4" t="inlineStr">
        <is>
          <t>Колонна П1</t>
        </is>
      </c>
      <c r="B4" t="inlineStr">
        <is>
          <t>□100×60×4</t>
        </is>
      </c>
      <c r="C4" t="n">
        <v>4.333</v>
      </c>
      <c r="D4" t="n">
        <v>1</v>
      </c>
      <c r="E4" t="n">
        <v>40</v>
      </c>
      <c r="F4" t="inlineStr">
        <is>
          <t>низ — прямой рез (+ заглушка), верх — под 12° по низу стропила; в бетоне 1.20 м (на всю глубину лунки, низ на 10 см выше дна)</t>
        </is>
      </c>
    </row>
    <row r="5">
      <c r="A5" t="inlineStr">
        <is>
          <t>Колонна П3</t>
        </is>
      </c>
      <c r="B5" t="inlineStr">
        <is>
          <t>□100×60×4</t>
        </is>
      </c>
      <c r="C5" t="n">
        <v>4.563</v>
      </c>
      <c r="D5" t="n">
        <v>1</v>
      </c>
      <c r="E5" t="n">
        <v>42.1</v>
      </c>
      <c r="F5" t="inlineStr">
        <is>
          <t>низ — прямой рез (+ заглушка), верх — под 12° по низу стропила; в бетоне 1.25 м (на всю глубину лунки, низ на 10 см выше дна)</t>
        </is>
      </c>
    </row>
    <row r="6">
      <c r="A6" t="inlineStr">
        <is>
          <t>Стропило длинное (свес 0.90)</t>
        </is>
      </c>
      <c r="B6" t="inlineStr">
        <is>
          <t>□100×60×3</t>
        </is>
      </c>
      <c r="C6" t="n">
        <v>3.71</v>
      </c>
      <c r="D6" t="n">
        <v>3</v>
      </c>
      <c r="E6" t="n">
        <v>78.7</v>
      </c>
      <c r="F6" t="inlineStr">
        <is>
          <t>у конька — вертикальный рез (78° к оси), у карниза — перпендикулярно оси</t>
        </is>
      </c>
    </row>
    <row r="7">
      <c r="A7" t="inlineStr">
        <is>
          <t>Стропило короткое (свес 0.40)</t>
        </is>
      </c>
      <c r="B7" t="inlineStr">
        <is>
          <t>□100×60×3</t>
        </is>
      </c>
      <c r="C7" t="n">
        <v>3.199</v>
      </c>
      <c r="D7" t="n">
        <v>3</v>
      </c>
      <c r="E7" t="n">
        <v>67.90000000000001</v>
      </c>
      <c r="F7" t="inlineStr">
        <is>
          <t>у конька — вертикальный рез (78° к оси), у карниза — перпендикулярно оси</t>
        </is>
      </c>
    </row>
    <row r="8">
      <c r="A8" t="inlineStr">
        <is>
          <t>Затяжка крайней рамы</t>
        </is>
      </c>
      <c r="B8" t="inlineStr">
        <is>
          <t>□60×60×2</t>
        </is>
      </c>
      <c r="C8" t="n">
        <v>5.357</v>
      </c>
      <c r="D8" t="n">
        <v>2</v>
      </c>
      <c r="E8" t="n">
        <v>38.2</v>
      </c>
      <c r="F8" t="inlineStr">
        <is>
          <t>оба торца — прямые, между гранями колонн</t>
        </is>
      </c>
    </row>
    <row r="9">
      <c r="A9" t="inlineStr">
        <is>
          <t>Затяжка средней рамы</t>
        </is>
      </c>
      <c r="B9" t="inlineStr">
        <is>
          <t>□60×60×2</t>
        </is>
      </c>
      <c r="C9" t="n">
        <v>5.397</v>
      </c>
      <c r="D9" t="n">
        <v>1</v>
      </c>
      <c r="E9" t="n">
        <v>19.2</v>
      </c>
      <c r="F9" t="inlineStr">
        <is>
          <t>оба торца — прямые, между гранями стоек</t>
        </is>
      </c>
    </row>
    <row r="10">
      <c r="A10" t="inlineStr">
        <is>
          <t>Подвеска у конька</t>
        </is>
      </c>
      <c r="B10" t="inlineStr">
        <is>
          <t>□20×20×2</t>
        </is>
      </c>
      <c r="C10" t="n">
        <v>0.598</v>
      </c>
      <c r="D10" t="n">
        <v>3</v>
      </c>
      <c r="E10" t="n">
        <v>1.9</v>
      </c>
      <c r="F10" t="inlineStr">
        <is>
          <t>низ — прямой, верх — «домиком» 2×12° под стропила</t>
        </is>
      </c>
    </row>
    <row r="11">
      <c r="A11" t="inlineStr">
        <is>
          <t>Подкос фермы</t>
        </is>
      </c>
      <c r="B11" t="inlineStr">
        <is>
          <t>□20×20×2</t>
        </is>
      </c>
      <c r="C11" t="n">
        <v>0.95</v>
      </c>
      <c r="D11" t="n">
        <v>6</v>
      </c>
      <c r="E11" t="n">
        <v>6</v>
      </c>
      <c r="F11" t="inlineStr">
        <is>
          <t>низ — под 25° к оси (на затяжку у подвески), верх — под 37° (на стропило)</t>
        </is>
      </c>
    </row>
    <row r="12">
      <c r="A12" t="inlineStr">
        <is>
          <t>Раскос фермы у опоры</t>
        </is>
      </c>
      <c r="B12" t="inlineStr">
        <is>
          <t>□20×20×2</t>
        </is>
      </c>
      <c r="C12" t="n">
        <v>0.747</v>
      </c>
      <c r="D12" t="n">
        <v>6</v>
      </c>
      <c r="E12" t="n">
        <v>4.7</v>
      </c>
      <c r="F12" t="inlineStr">
        <is>
          <t>низ — под 28° к оси (на затяжку в 0.85 м от оси колонны), верх — под 16° (на стропило в узле подкоса)</t>
        </is>
      </c>
    </row>
    <row r="13">
      <c r="A13" t="inlineStr">
        <is>
          <t>Обрешётина, часть 1 (передний край → стык)</t>
        </is>
      </c>
      <c r="B13" t="inlineStr">
        <is>
          <t>□35×35×2</t>
        </is>
      </c>
      <c r="C13" t="n">
        <v>5.49</v>
      </c>
      <c r="D13" t="n">
        <v>19</v>
      </c>
      <c r="E13" t="n">
        <v>207.7</v>
      </c>
      <c r="F13" t="inlineStr">
        <is>
          <t>торцы прямые; стык с частью 2 — в пролёте, в 290 мм от стропила рамы 3 (встык, см. узлы)</t>
        </is>
      </c>
    </row>
    <row r="14">
      <c r="A14" t="inlineStr">
        <is>
          <t>Обрешётина, часть 2 (стык → задний край)</t>
        </is>
      </c>
      <c r="B14" t="inlineStr">
        <is>
          <t>□35×35×2</t>
        </is>
      </c>
      <c r="C14" t="n">
        <v>1.49</v>
      </c>
      <c r="D14" t="n">
        <v>19</v>
      </c>
      <c r="E14" t="n">
        <v>56.4</v>
      </c>
      <c r="F14" t="inlineStr">
        <is>
          <t>торцы прямые</t>
        </is>
      </c>
    </row>
    <row r="15">
      <c r="A15" t="inlineStr">
        <is>
          <t>Торцевая обвязка (по скату, под обрешёткой)</t>
        </is>
      </c>
      <c r="B15" t="inlineStr">
        <is>
          <t>□50×30×2</t>
        </is>
      </c>
      <c r="C15" t="n">
        <v>3.698</v>
      </c>
      <c r="D15" t="n">
        <v>2</v>
      </c>
      <c r="E15" t="n">
        <v>17.1</v>
      </c>
      <c r="F15" t="inlineStr">
        <is>
          <t>у карниза — прямой рез, у конька — вертикальный рез (78° к оси) встык со второй половиной</t>
        </is>
      </c>
    </row>
    <row r="16">
      <c r="A16" t="inlineStr">
        <is>
          <t>Торцевая обвязка (по скату, под обрешёткой)</t>
        </is>
      </c>
      <c r="B16" t="inlineStr">
        <is>
          <t>□50×30×2</t>
        </is>
      </c>
      <c r="C16" t="n">
        <v>3.186</v>
      </c>
      <c r="D16" t="n">
        <v>2</v>
      </c>
      <c r="E16" t="n">
        <v>14.7</v>
      </c>
      <c r="F16" t="inlineStr">
        <is>
          <t>у карниза — прямой рез, у конька — вертикальный рез (78° к оси) встык со второй половиной</t>
        </is>
      </c>
    </row>
    <row r="17">
      <c r="A17" t="inlineStr">
        <is>
          <t>Карнизная обрешётина (на ребро), часть 1 (передний край → стык)</t>
        </is>
      </c>
      <c r="B17" t="inlineStr">
        <is>
          <t>□50×30×2</t>
        </is>
      </c>
      <c r="C17" t="n">
        <v>5.49</v>
      </c>
      <c r="D17" t="n">
        <v>2</v>
      </c>
      <c r="E17" t="n">
        <v>25.3</v>
      </c>
      <c r="F17" t="inlineStr">
        <is>
          <t>торцы прямые; стык с частью 2 — в пролёте, в 290 мм от стропила рамы 3 (встык, см. узлы)</t>
        </is>
      </c>
    </row>
    <row r="18">
      <c r="A18" t="inlineStr">
        <is>
          <t>Карнизная обрешётина (на ребро), часть 2 (стык → задний край)</t>
        </is>
      </c>
      <c r="B18" t="inlineStr">
        <is>
          <t>□50×30×2</t>
        </is>
      </c>
      <c r="C18" t="n">
        <v>1.49</v>
      </c>
      <c r="D18" t="n">
        <v>2</v>
      </c>
      <c r="E18" t="n">
        <v>6.9</v>
      </c>
      <c r="F18" t="inlineStr">
        <is>
          <t>торцы прямые</t>
        </is>
      </c>
    </row>
    <row r="19">
      <c r="A19" t="inlineStr">
        <is>
          <t>Коньковая обрешётина, часть 1 (передний край → стык)</t>
        </is>
      </c>
      <c r="B19" t="inlineStr">
        <is>
          <t>□60×60×2</t>
        </is>
      </c>
      <c r="C19" t="n">
        <v>5.49</v>
      </c>
      <c r="D19" t="n">
        <v>1</v>
      </c>
      <c r="E19" t="n">
        <v>19.6</v>
      </c>
      <c r="F19" t="inlineStr">
        <is>
          <t>торцы прямые; стык с частью 2 — в пролёте, в 290 мм от стропила рамы 3 (встык, см. узлы)</t>
        </is>
      </c>
    </row>
    <row r="20">
      <c r="A20" t="inlineStr">
        <is>
          <t>Коньковая обрешётина, часть 2 (стык → задний край) — из обрезка заказчика</t>
        </is>
      </c>
      <c r="B20" t="inlineStr">
        <is>
          <t>□60×60×3</t>
        </is>
      </c>
      <c r="C20" t="n">
        <v>1.49</v>
      </c>
      <c r="D20" t="n">
        <v>1</v>
      </c>
      <c r="E20" t="n">
        <v>7.7</v>
      </c>
      <c r="F20" t="inlineStr">
        <is>
          <t>торцы прямые; □60×60×3 вместо □60×60×2 — размеры и резы те же</t>
        </is>
      </c>
    </row>
    <row r="21">
      <c r="A21" t="inlineStr">
        <is>
          <t>Раскос боковой фермы</t>
        </is>
      </c>
      <c r="B21" t="inlineStr">
        <is>
          <t>□60×60×2</t>
        </is>
      </c>
      <c r="C21" t="n">
        <v>2.403</v>
      </c>
      <c r="D21" t="n">
        <v>2</v>
      </c>
      <c r="E21" t="n">
        <v>17.1</v>
      </c>
      <c r="F21" t="inlineStr">
        <is>
          <t>оба торца — горизонтальные резы под 20.7° к оси (рез по грани 170 мм): низ — на пояс, верх — под столик</t>
        </is>
      </c>
    </row>
    <row r="22">
      <c r="A22" t="inlineStr">
        <is>
          <t>Раскос боковой фермы — из обрезка заказчика</t>
        </is>
      </c>
      <c r="B22" t="inlineStr">
        <is>
          <t>□60×60×3</t>
        </is>
      </c>
      <c r="C22" t="n">
        <v>2.403</v>
      </c>
      <c r="D22" t="n">
        <v>2</v>
      </c>
      <c r="E22" t="n">
        <v>24.9</v>
      </c>
      <c r="F22" t="inlineStr">
        <is>
          <t>оба торца — горизонтальные резы под 20.7° к оси (рез по грани 170 мм): низ — на пояс, верх — под столик; □60×60×3 вместо □60×60×2 — размеры и резы те же</t>
        </is>
      </c>
    </row>
    <row r="23">
      <c r="A23" t="inlineStr">
        <is>
          <t>Нижний пояс боковой фермы</t>
        </is>
      </c>
      <c r="B23" t="inlineStr">
        <is>
          <t>□60×60×2</t>
        </is>
      </c>
      <c r="C23" t="n">
        <v>4.54</v>
      </c>
      <c r="D23" t="n">
        <v>2</v>
      </c>
      <c r="E23" t="n">
        <v>32.3</v>
      </c>
      <c r="F23" t="inlineStr">
        <is>
          <t>оба торца — прямые; по фактическому расстоянию между гранями колонн</t>
        </is>
      </c>
    </row>
    <row r="24">
      <c r="A24" t="inlineStr">
        <is>
          <t>Стойка-вставка — из обрезка заказчика</t>
        </is>
      </c>
      <c r="B24" t="inlineStr">
        <is>
          <t>□60×60×3</t>
        </is>
      </c>
      <c r="C24" t="n">
        <v>0.113</v>
      </c>
      <c r="D24" t="n">
        <v>2</v>
      </c>
      <c r="E24" t="n">
        <v>1.2</v>
      </c>
      <c r="F24" t="inlineStr">
        <is>
          <t>низ — прямой (встаёт на столик фермы), верх — под 12°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  <col width="60" customWidth="1" min="4" max="4"/>
    <col width="10" customWidth="1" min="5" max="5"/>
  </cols>
  <sheetData>
    <row r="1">
      <c r="A1" s="1" t="inlineStr">
        <is>
          <t>Профиль</t>
        </is>
      </c>
      <c r="B1" s="1" t="inlineStr">
        <is>
          <t>Хлыст №</t>
        </is>
      </c>
      <c r="C1" s="1" t="inlineStr">
        <is>
          <t>Резы, м</t>
        </is>
      </c>
      <c r="D1" s="1" t="inlineStr">
        <is>
          <t>Заготовки</t>
        </is>
      </c>
      <c r="E1" s="1" t="inlineStr">
        <is>
          <t>Остаток, м</t>
        </is>
      </c>
    </row>
    <row r="2">
      <c r="A2" t="inlineStr">
        <is>
          <t>□60×60×3 (обрезки заказчика)</t>
        </is>
      </c>
      <c r="B2" t="inlineStr">
        <is>
          <t>обрезок 1.74 м</t>
        </is>
      </c>
      <c r="C2" t="inlineStr">
        <is>
          <t>1.490 + 0.113 + 0.113</t>
        </is>
      </c>
      <c r="D2" t="inlineStr">
        <is>
          <t>Коньковая обрешётина, часть 2 (стык → задний край) — из обрезка заказчика; Стойка-вставка — из обрезка заказчика</t>
        </is>
      </c>
      <c r="E2" t="n">
        <v>0.015</v>
      </c>
    </row>
    <row r="3">
      <c r="A3" t="inlineStr">
        <is>
          <t>□60×60×3 (обрезки заказчика)</t>
        </is>
      </c>
      <c r="B3" t="inlineStr">
        <is>
          <t>обрезок 2.70 м</t>
        </is>
      </c>
      <c r="C3" t="inlineStr">
        <is>
          <t>2.403</t>
        </is>
      </c>
      <c r="D3" t="inlineStr">
        <is>
          <t>Раскос боковой фермы — из обрезка заказчика</t>
        </is>
      </c>
      <c r="E3" t="n">
        <v>0.294</v>
      </c>
    </row>
    <row r="4">
      <c r="A4" t="inlineStr">
        <is>
          <t>□60×60×3 (обрезки заказчика)</t>
        </is>
      </c>
      <c r="B4" t="inlineStr">
        <is>
          <t>обрезок 2.80 м</t>
        </is>
      </c>
      <c r="C4" t="inlineStr">
        <is>
          <t>2.403</t>
        </is>
      </c>
      <c r="D4" t="inlineStr">
        <is>
          <t>Раскос боковой фермы — из обрезка заказчика</t>
        </is>
      </c>
      <c r="E4" t="n">
        <v>0.394</v>
      </c>
    </row>
    <row r="5">
      <c r="A5" t="inlineStr">
        <is>
          <t>□100×60×4</t>
        </is>
      </c>
      <c r="B5" t="inlineStr">
        <is>
          <t>1 (12 м)</t>
        </is>
      </c>
      <c r="C5" t="inlineStr">
        <is>
          <t>4.563 + 4.393</t>
        </is>
      </c>
      <c r="D5" t="inlineStr">
        <is>
          <t>Колонна Л3; Колонна П3</t>
        </is>
      </c>
      <c r="E5" t="n">
        <v>3.038</v>
      </c>
    </row>
    <row r="6">
      <c r="A6" t="inlineStr">
        <is>
          <t>□100×60×4</t>
        </is>
      </c>
      <c r="B6" t="inlineStr">
        <is>
          <t>2 (12 м)</t>
        </is>
      </c>
      <c r="C6" t="inlineStr">
        <is>
          <t>4.333 + 4.203</t>
        </is>
      </c>
      <c r="D6" t="inlineStr">
        <is>
          <t>Колонна Л1; Колонна П1</t>
        </is>
      </c>
      <c r="E6" t="n">
        <v>3.458</v>
      </c>
    </row>
    <row r="7">
      <c r="A7" t="inlineStr">
        <is>
          <t>□100×60×3</t>
        </is>
      </c>
      <c r="B7" t="inlineStr">
        <is>
          <t>1 (12 м)</t>
        </is>
      </c>
      <c r="C7" t="inlineStr">
        <is>
          <t>3.710 + 3.710 + 3.710</t>
        </is>
      </c>
      <c r="D7" t="inlineStr">
        <is>
          <t>Стропило длинное (свес 0.90)</t>
        </is>
      </c>
      <c r="E7" t="n">
        <v>0.861</v>
      </c>
    </row>
    <row r="8">
      <c r="A8" t="inlineStr">
        <is>
          <t>□100×60×3</t>
        </is>
      </c>
      <c r="B8" t="inlineStr">
        <is>
          <t>2 (12 м)</t>
        </is>
      </c>
      <c r="C8" t="inlineStr">
        <is>
          <t>3.199 + 3.199 + 3.199</t>
        </is>
      </c>
      <c r="D8" t="inlineStr">
        <is>
          <t>Стропило короткое (свес 0.40)</t>
        </is>
      </c>
      <c r="E8" t="n">
        <v>2.394</v>
      </c>
    </row>
    <row r="9">
      <c r="A9" t="inlineStr">
        <is>
          <t>□60×60×2</t>
        </is>
      </c>
      <c r="B9" t="inlineStr">
        <is>
          <t>1 (6 м)</t>
        </is>
      </c>
      <c r="C9" t="inlineStr">
        <is>
          <t>5.490</t>
        </is>
      </c>
      <c r="D9" t="inlineStr">
        <is>
          <t>Коньковая обрешётина, часть 1 (передний край → стык)</t>
        </is>
      </c>
      <c r="E9" t="n">
        <v>0.507</v>
      </c>
    </row>
    <row r="10">
      <c r="A10" t="inlineStr">
        <is>
          <t>□60×60×2</t>
        </is>
      </c>
      <c r="B10" t="inlineStr">
        <is>
          <t>2 (6 м)</t>
        </is>
      </c>
      <c r="C10" t="inlineStr">
        <is>
          <t>5.397</t>
        </is>
      </c>
      <c r="D10" t="inlineStr">
        <is>
          <t>Затяжка средней рамы</t>
        </is>
      </c>
      <c r="E10" t="n">
        <v>0.6</v>
      </c>
    </row>
    <row r="11">
      <c r="A11" t="inlineStr">
        <is>
          <t>□60×60×2</t>
        </is>
      </c>
      <c r="B11" t="inlineStr">
        <is>
          <t>3 (6 м)</t>
        </is>
      </c>
      <c r="C11" t="inlineStr">
        <is>
          <t>5.357</t>
        </is>
      </c>
      <c r="D11" t="inlineStr">
        <is>
          <t>Затяжка крайней рамы</t>
        </is>
      </c>
      <c r="E11" t="n">
        <v>0.64</v>
      </c>
    </row>
    <row r="12">
      <c r="A12" t="inlineStr">
        <is>
          <t>□60×60×2</t>
        </is>
      </c>
      <c r="B12" t="inlineStr">
        <is>
          <t>4 (6 м)</t>
        </is>
      </c>
      <c r="C12" t="inlineStr">
        <is>
          <t>5.357</t>
        </is>
      </c>
      <c r="D12" t="inlineStr">
        <is>
          <t>Затяжка крайней рамы</t>
        </is>
      </c>
      <c r="E12" t="n">
        <v>0.64</v>
      </c>
    </row>
    <row r="13">
      <c r="A13" t="inlineStr">
        <is>
          <t>□60×60×2</t>
        </is>
      </c>
      <c r="B13" t="inlineStr">
        <is>
          <t>5 (6 м)</t>
        </is>
      </c>
      <c r="C13" t="inlineStr">
        <is>
          <t>4.540</t>
        </is>
      </c>
      <c r="D13" t="inlineStr">
        <is>
          <t>Нижний пояс боковой фермы</t>
        </is>
      </c>
      <c r="E13" t="n">
        <v>1.457</v>
      </c>
    </row>
    <row r="14">
      <c r="A14" t="inlineStr">
        <is>
          <t>□60×60×2</t>
        </is>
      </c>
      <c r="B14" t="inlineStr">
        <is>
          <t>6 (6 м)</t>
        </is>
      </c>
      <c r="C14" t="inlineStr">
        <is>
          <t>4.540</t>
        </is>
      </c>
      <c r="D14" t="inlineStr">
        <is>
          <t>Нижний пояс боковой фермы</t>
        </is>
      </c>
      <c r="E14" t="n">
        <v>1.457</v>
      </c>
    </row>
    <row r="15">
      <c r="A15" t="inlineStr">
        <is>
          <t>□60×60×2</t>
        </is>
      </c>
      <c r="B15" t="inlineStr">
        <is>
          <t>7 (6 м)</t>
        </is>
      </c>
      <c r="C15" t="inlineStr">
        <is>
          <t>2.403 + 2.403</t>
        </is>
      </c>
      <c r="D15" t="inlineStr">
        <is>
          <t>Раскос боковой фермы</t>
        </is>
      </c>
      <c r="E15" t="n">
        <v>1.188</v>
      </c>
    </row>
    <row r="16">
      <c r="A16" t="inlineStr">
        <is>
          <t>□20×20×2</t>
        </is>
      </c>
      <c r="B16" t="inlineStr">
        <is>
          <t>1 (6 м)</t>
        </is>
      </c>
      <c r="C16" t="inlineStr">
        <is>
          <t>0.950 + 0.950 + 0.950 + 0.950 + 0.950 + 0.950</t>
        </is>
      </c>
      <c r="D16" t="inlineStr">
        <is>
          <t>Подкос фермы</t>
        </is>
      </c>
      <c r="E16" t="n">
        <v>0.282</v>
      </c>
    </row>
    <row r="17">
      <c r="A17" t="inlineStr">
        <is>
          <t>□20×20×2</t>
        </is>
      </c>
      <c r="B17" t="inlineStr">
        <is>
          <t>2 (6 м)</t>
        </is>
      </c>
      <c r="C17" t="inlineStr">
        <is>
          <t>0.747 + 0.747 + 0.747 + 0.747 + 0.747 + 0.747 + 0.598 + 0.598</t>
        </is>
      </c>
      <c r="D17" t="inlineStr">
        <is>
          <t>Подвеска у конька; Раскос фермы у опоры</t>
        </is>
      </c>
      <c r="E17" t="n">
        <v>0.298</v>
      </c>
    </row>
    <row r="18">
      <c r="A18" t="inlineStr">
        <is>
          <t>□20×20×2</t>
        </is>
      </c>
      <c r="B18" t="inlineStr">
        <is>
          <t>3 (6 м)</t>
        </is>
      </c>
      <c r="C18" t="inlineStr">
        <is>
          <t>0.598</t>
        </is>
      </c>
      <c r="D18" t="inlineStr">
        <is>
          <t>Подвеска у конька</t>
        </is>
      </c>
      <c r="E18" t="n">
        <v>5.399</v>
      </c>
    </row>
    <row r="19">
      <c r="A19" t="inlineStr">
        <is>
          <t>□35×35×2</t>
        </is>
      </c>
      <c r="B19" t="inlineStr">
        <is>
          <t>1 (6 м)</t>
        </is>
      </c>
      <c r="C19" t="inlineStr">
        <is>
          <t>5.490</t>
        </is>
      </c>
      <c r="D19" t="inlineStr">
        <is>
          <t>Обрешётина, часть 1 (передний край → стык)</t>
        </is>
      </c>
      <c r="E19" t="n">
        <v>0.507</v>
      </c>
    </row>
    <row r="20">
      <c r="A20" t="inlineStr">
        <is>
          <t>□35×35×2</t>
        </is>
      </c>
      <c r="B20" t="inlineStr">
        <is>
          <t>2 (6 м)</t>
        </is>
      </c>
      <c r="C20" t="inlineStr">
        <is>
          <t>5.490</t>
        </is>
      </c>
      <c r="D20" t="inlineStr">
        <is>
          <t>Обрешётина, часть 1 (передний край → стык)</t>
        </is>
      </c>
      <c r="E20" t="n">
        <v>0.507</v>
      </c>
    </row>
    <row r="21">
      <c r="A21" t="inlineStr">
        <is>
          <t>□35×35×2</t>
        </is>
      </c>
      <c r="B21" t="inlineStr">
        <is>
          <t>3 (6 м)</t>
        </is>
      </c>
      <c r="C21" t="inlineStr">
        <is>
          <t>5.490</t>
        </is>
      </c>
      <c r="D21" t="inlineStr">
        <is>
          <t>Обрешётина, часть 1 (передний край → стык)</t>
        </is>
      </c>
      <c r="E21" t="n">
        <v>0.507</v>
      </c>
    </row>
    <row r="22">
      <c r="A22" t="inlineStr">
        <is>
          <t>□35×35×2</t>
        </is>
      </c>
      <c r="B22" t="inlineStr">
        <is>
          <t>4 (6 м)</t>
        </is>
      </c>
      <c r="C22" t="inlineStr">
        <is>
          <t>5.490</t>
        </is>
      </c>
      <c r="D22" t="inlineStr">
        <is>
          <t>Обрешётина, часть 1 (передний край → стык)</t>
        </is>
      </c>
      <c r="E22" t="n">
        <v>0.507</v>
      </c>
    </row>
    <row r="23">
      <c r="A23" t="inlineStr">
        <is>
          <t>□35×35×2</t>
        </is>
      </c>
      <c r="B23" t="inlineStr">
        <is>
          <t>5 (6 м)</t>
        </is>
      </c>
      <c r="C23" t="inlineStr">
        <is>
          <t>5.490</t>
        </is>
      </c>
      <c r="D23" t="inlineStr">
        <is>
          <t>Обрешётина, часть 1 (передний край → стык)</t>
        </is>
      </c>
      <c r="E23" t="n">
        <v>0.507</v>
      </c>
    </row>
    <row r="24">
      <c r="A24" t="inlineStr">
        <is>
          <t>□35×35×2</t>
        </is>
      </c>
      <c r="B24" t="inlineStr">
        <is>
          <t>6 (6 м)</t>
        </is>
      </c>
      <c r="C24" t="inlineStr">
        <is>
          <t>5.490</t>
        </is>
      </c>
      <c r="D24" t="inlineStr">
        <is>
          <t>Обрешётина, часть 1 (передний край → стык)</t>
        </is>
      </c>
      <c r="E24" t="n">
        <v>0.507</v>
      </c>
    </row>
    <row r="25">
      <c r="A25" t="inlineStr">
        <is>
          <t>□35×35×2</t>
        </is>
      </c>
      <c r="B25" t="inlineStr">
        <is>
          <t>7 (6 м)</t>
        </is>
      </c>
      <c r="C25" t="inlineStr">
        <is>
          <t>5.490</t>
        </is>
      </c>
      <c r="D25" t="inlineStr">
        <is>
          <t>Обрешётина, часть 1 (передний край → стык)</t>
        </is>
      </c>
      <c r="E25" t="n">
        <v>0.507</v>
      </c>
    </row>
    <row r="26">
      <c r="A26" t="inlineStr">
        <is>
          <t>□35×35×2</t>
        </is>
      </c>
      <c r="B26" t="inlineStr">
        <is>
          <t>8 (6 м)</t>
        </is>
      </c>
      <c r="C26" t="inlineStr">
        <is>
          <t>5.490</t>
        </is>
      </c>
      <c r="D26" t="inlineStr">
        <is>
          <t>Обрешётина, часть 1 (передний край → стык)</t>
        </is>
      </c>
      <c r="E26" t="n">
        <v>0.507</v>
      </c>
    </row>
    <row r="27">
      <c r="A27" t="inlineStr">
        <is>
          <t>□35×35×2</t>
        </is>
      </c>
      <c r="B27" t="inlineStr">
        <is>
          <t>9 (6 м)</t>
        </is>
      </c>
      <c r="C27" t="inlineStr">
        <is>
          <t>5.490</t>
        </is>
      </c>
      <c r="D27" t="inlineStr">
        <is>
          <t>Обрешётина, часть 1 (передний край → стык)</t>
        </is>
      </c>
      <c r="E27" t="n">
        <v>0.507</v>
      </c>
    </row>
    <row r="28">
      <c r="A28" t="inlineStr">
        <is>
          <t>□35×35×2</t>
        </is>
      </c>
      <c r="B28" t="inlineStr">
        <is>
          <t>10 (6 м)</t>
        </is>
      </c>
      <c r="C28" t="inlineStr">
        <is>
          <t>5.490</t>
        </is>
      </c>
      <c r="D28" t="inlineStr">
        <is>
          <t>Обрешётина, часть 1 (передний край → стык)</t>
        </is>
      </c>
      <c r="E28" t="n">
        <v>0.507</v>
      </c>
    </row>
    <row r="29">
      <c r="A29" t="inlineStr">
        <is>
          <t>□35×35×2</t>
        </is>
      </c>
      <c r="B29" t="inlineStr">
        <is>
          <t>11 (6 м)</t>
        </is>
      </c>
      <c r="C29" t="inlineStr">
        <is>
          <t>5.490</t>
        </is>
      </c>
      <c r="D29" t="inlineStr">
        <is>
          <t>Обрешётина, часть 1 (передний край → стык)</t>
        </is>
      </c>
      <c r="E29" t="n">
        <v>0.507</v>
      </c>
    </row>
    <row r="30">
      <c r="A30" t="inlineStr">
        <is>
          <t>□35×35×2</t>
        </is>
      </c>
      <c r="B30" t="inlineStr">
        <is>
          <t>12 (6 м)</t>
        </is>
      </c>
      <c r="C30" t="inlineStr">
        <is>
          <t>5.490</t>
        </is>
      </c>
      <c r="D30" t="inlineStr">
        <is>
          <t>Обрешётина, часть 1 (передний край → стык)</t>
        </is>
      </c>
      <c r="E30" t="n">
        <v>0.507</v>
      </c>
    </row>
    <row r="31">
      <c r="A31" t="inlineStr">
        <is>
          <t>□35×35×2</t>
        </is>
      </c>
      <c r="B31" t="inlineStr">
        <is>
          <t>13 (6 м)</t>
        </is>
      </c>
      <c r="C31" t="inlineStr">
        <is>
          <t>5.490</t>
        </is>
      </c>
      <c r="D31" t="inlineStr">
        <is>
          <t>Обрешётина, часть 1 (передний край → стык)</t>
        </is>
      </c>
      <c r="E31" t="n">
        <v>0.507</v>
      </c>
    </row>
    <row r="32">
      <c r="A32" t="inlineStr">
        <is>
          <t>□35×35×2</t>
        </is>
      </c>
      <c r="B32" t="inlineStr">
        <is>
          <t>14 (6 м)</t>
        </is>
      </c>
      <c r="C32" t="inlineStr">
        <is>
          <t>5.490</t>
        </is>
      </c>
      <c r="D32" t="inlineStr">
        <is>
          <t>Обрешётина, часть 1 (передний край → стык)</t>
        </is>
      </c>
      <c r="E32" t="n">
        <v>0.507</v>
      </c>
    </row>
    <row r="33">
      <c r="A33" t="inlineStr">
        <is>
          <t>□35×35×2</t>
        </is>
      </c>
      <c r="B33" t="inlineStr">
        <is>
          <t>15 (6 м)</t>
        </is>
      </c>
      <c r="C33" t="inlineStr">
        <is>
          <t>5.490</t>
        </is>
      </c>
      <c r="D33" t="inlineStr">
        <is>
          <t>Обрешётина, часть 1 (передний край → стык)</t>
        </is>
      </c>
      <c r="E33" t="n">
        <v>0.507</v>
      </c>
    </row>
    <row r="34">
      <c r="A34" t="inlineStr">
        <is>
          <t>□35×35×2</t>
        </is>
      </c>
      <c r="B34" t="inlineStr">
        <is>
          <t>16 (6 м)</t>
        </is>
      </c>
      <c r="C34" t="inlineStr">
        <is>
          <t>5.490</t>
        </is>
      </c>
      <c r="D34" t="inlineStr">
        <is>
          <t>Обрешётина, часть 1 (передний край → стык)</t>
        </is>
      </c>
      <c r="E34" t="n">
        <v>0.507</v>
      </c>
    </row>
    <row r="35">
      <c r="A35" t="inlineStr">
        <is>
          <t>□35×35×2</t>
        </is>
      </c>
      <c r="B35" t="inlineStr">
        <is>
          <t>17 (6 м)</t>
        </is>
      </c>
      <c r="C35" t="inlineStr">
        <is>
          <t>5.490</t>
        </is>
      </c>
      <c r="D35" t="inlineStr">
        <is>
          <t>Обрешётина, часть 1 (передний край → стык)</t>
        </is>
      </c>
      <c r="E35" t="n">
        <v>0.507</v>
      </c>
    </row>
    <row r="36">
      <c r="A36" t="inlineStr">
        <is>
          <t>□35×35×2</t>
        </is>
      </c>
      <c r="B36" t="inlineStr">
        <is>
          <t>18 (6 м)</t>
        </is>
      </c>
      <c r="C36" t="inlineStr">
        <is>
          <t>5.490</t>
        </is>
      </c>
      <c r="D36" t="inlineStr">
        <is>
          <t>Обрешётина, часть 1 (передний край → стык)</t>
        </is>
      </c>
      <c r="E36" t="n">
        <v>0.507</v>
      </c>
    </row>
    <row r="37">
      <c r="A37" t="inlineStr">
        <is>
          <t>□35×35×2</t>
        </is>
      </c>
      <c r="B37" t="inlineStr">
        <is>
          <t>19 (6 м)</t>
        </is>
      </c>
      <c r="C37" t="inlineStr">
        <is>
          <t>5.490</t>
        </is>
      </c>
      <c r="D37" t="inlineStr">
        <is>
          <t>Обрешётина, часть 1 (передний край → стык)</t>
        </is>
      </c>
      <c r="E37" t="n">
        <v>0.507</v>
      </c>
    </row>
    <row r="38">
      <c r="A38" t="inlineStr">
        <is>
          <t>□35×35×2</t>
        </is>
      </c>
      <c r="B38" t="inlineStr">
        <is>
          <t>20 (6 м)</t>
        </is>
      </c>
      <c r="C38" t="inlineStr">
        <is>
          <t>1.490 + 1.490 + 1.490 + 1.490</t>
        </is>
      </c>
      <c r="D38" t="inlineStr">
        <is>
          <t>Обрешётина, часть 2 (стык → задний край)</t>
        </is>
      </c>
      <c r="E38" t="n">
        <v>0.028</v>
      </c>
    </row>
    <row r="39">
      <c r="A39" t="inlineStr">
        <is>
          <t>□35×35×2</t>
        </is>
      </c>
      <c r="B39" t="inlineStr">
        <is>
          <t>21 (6 м)</t>
        </is>
      </c>
      <c r="C39" t="inlineStr">
        <is>
          <t>1.490 + 1.490 + 1.490 + 1.490</t>
        </is>
      </c>
      <c r="D39" t="inlineStr">
        <is>
          <t>Обрешётина, часть 2 (стык → задний край)</t>
        </is>
      </c>
      <c r="E39" t="n">
        <v>0.028</v>
      </c>
    </row>
    <row r="40">
      <c r="A40" t="inlineStr">
        <is>
          <t>□35×35×2</t>
        </is>
      </c>
      <c r="B40" t="inlineStr">
        <is>
          <t>22 (6 м)</t>
        </is>
      </c>
      <c r="C40" t="inlineStr">
        <is>
          <t>1.490 + 1.490 + 1.490 + 1.490</t>
        </is>
      </c>
      <c r="D40" t="inlineStr">
        <is>
          <t>Обрешётина, часть 2 (стык → задний край)</t>
        </is>
      </c>
      <c r="E40" t="n">
        <v>0.028</v>
      </c>
    </row>
    <row r="41">
      <c r="A41" t="inlineStr">
        <is>
          <t>□35×35×2</t>
        </is>
      </c>
      <c r="B41" t="inlineStr">
        <is>
          <t>23 (6 м)</t>
        </is>
      </c>
      <c r="C41" t="inlineStr">
        <is>
          <t>1.490 + 1.490 + 1.490 + 1.490</t>
        </is>
      </c>
      <c r="D41" t="inlineStr">
        <is>
          <t>Обрешётина, часть 2 (стык → задний край)</t>
        </is>
      </c>
      <c r="E41" t="n">
        <v>0.028</v>
      </c>
    </row>
    <row r="42">
      <c r="A42" t="inlineStr">
        <is>
          <t>□35×35×2</t>
        </is>
      </c>
      <c r="B42" t="inlineStr">
        <is>
          <t>24 (6 м)</t>
        </is>
      </c>
      <c r="C42" t="inlineStr">
        <is>
          <t>1.490 + 1.490 + 1.490</t>
        </is>
      </c>
      <c r="D42" t="inlineStr">
        <is>
          <t>Обрешётина, часть 2 (стык → задний край)</t>
        </is>
      </c>
      <c r="E42" t="n">
        <v>1.521</v>
      </c>
    </row>
    <row r="43">
      <c r="A43" t="inlineStr">
        <is>
          <t>□50×30×2</t>
        </is>
      </c>
      <c r="B43" t="inlineStr">
        <is>
          <t>1 (6 м)</t>
        </is>
      </c>
      <c r="C43" t="inlineStr">
        <is>
          <t>5.490</t>
        </is>
      </c>
      <c r="D43" t="inlineStr">
        <is>
          <t>Карнизная обрешётина (на ребро), часть 1 (передний край → стык)</t>
        </is>
      </c>
      <c r="E43" t="n">
        <v>0.507</v>
      </c>
    </row>
    <row r="44">
      <c r="A44" t="inlineStr">
        <is>
          <t>□50×30×2</t>
        </is>
      </c>
      <c r="B44" t="inlineStr">
        <is>
          <t>2 (6 м)</t>
        </is>
      </c>
      <c r="C44" t="inlineStr">
        <is>
          <t>5.490</t>
        </is>
      </c>
      <c r="D44" t="inlineStr">
        <is>
          <t>Карнизная обрешётина (на ребро), часть 1 (передний край → стык)</t>
        </is>
      </c>
      <c r="E44" t="n">
        <v>0.507</v>
      </c>
    </row>
    <row r="45">
      <c r="A45" t="inlineStr">
        <is>
          <t>□50×30×2</t>
        </is>
      </c>
      <c r="B45" t="inlineStr">
        <is>
          <t>3 (6 м)</t>
        </is>
      </c>
      <c r="C45" t="inlineStr">
        <is>
          <t>3.698 + 1.490</t>
        </is>
      </c>
      <c r="D45" t="inlineStr">
        <is>
          <t>Карнизная обрешётина (на ребро), часть 2 (стык → задний край); Торцевая обвязка (по скату, под обрешёткой)</t>
        </is>
      </c>
      <c r="E45" t="n">
        <v>0.806</v>
      </c>
    </row>
    <row r="46">
      <c r="A46" t="inlineStr">
        <is>
          <t>□50×30×2</t>
        </is>
      </c>
      <c r="B46" t="inlineStr">
        <is>
          <t>4 (6 м)</t>
        </is>
      </c>
      <c r="C46" t="inlineStr">
        <is>
          <t>3.698 + 1.490</t>
        </is>
      </c>
      <c r="D46" t="inlineStr">
        <is>
          <t>Карнизная обрешётина (на ребро), часть 2 (стык → задний край); Торцевая обвязка (по скату, под обрешёткой)</t>
        </is>
      </c>
      <c r="E46" t="n">
        <v>0.806</v>
      </c>
    </row>
    <row r="47">
      <c r="A47" t="inlineStr">
        <is>
          <t>□50×30×2</t>
        </is>
      </c>
      <c r="B47" t="inlineStr">
        <is>
          <t>5 (6 м)</t>
        </is>
      </c>
      <c r="C47" t="inlineStr">
        <is>
          <t>3.186</t>
        </is>
      </c>
      <c r="D47" t="inlineStr">
        <is>
          <t>Торцевая обвязка (по скату, под обрешёткой)</t>
        </is>
      </c>
      <c r="E47" t="n">
        <v>2.811</v>
      </c>
    </row>
    <row r="48">
      <c r="A48" t="inlineStr">
        <is>
          <t>□50×30×2</t>
        </is>
      </c>
      <c r="B48" t="inlineStr">
        <is>
          <t>6 (6 м)</t>
        </is>
      </c>
      <c r="C48" t="inlineStr">
        <is>
          <t>3.186</t>
        </is>
      </c>
      <c r="D48" t="inlineStr">
        <is>
          <t>Торцевая обвязка (по скату, под обрешёткой)</t>
        </is>
      </c>
      <c r="E48" t="n">
        <v>2.811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6" customWidth="1" min="4" max="4"/>
    <col width="12" customWidth="1" min="5" max="5"/>
    <col width="40" customWidth="1" min="6" max="6"/>
  </cols>
  <sheetData>
    <row r="1">
      <c r="A1" s="1" t="inlineStr">
        <is>
          <t>Скат</t>
        </is>
      </c>
      <c r="B1" s="1" t="inlineStr">
        <is>
          <t>Лист №</t>
        </is>
      </c>
      <c r="C1" s="1" t="inlineStr">
        <is>
          <t>Длина листа, м</t>
        </is>
      </c>
      <c r="D1" s="1" t="inlineStr">
        <is>
          <t>Полезн. ширина у карниза, мм</t>
        </is>
      </c>
      <c r="E1" s="1" t="inlineStr">
        <is>
          <t>у конька, мм</t>
        </is>
      </c>
      <c r="F1" s="1" t="inlineStr">
        <is>
          <t>Подрезка (у карниза → у конька)</t>
        </is>
      </c>
    </row>
    <row r="2">
      <c r="A2" t="inlineStr">
        <is>
          <t>Левый скат (свес 0.40 м)</t>
        </is>
      </c>
      <c r="B2" t="n">
        <v>1</v>
      </c>
      <c r="C2" t="n">
        <v>3.19</v>
      </c>
      <c r="D2" t="n">
        <v>1100</v>
      </c>
      <c r="E2" t="n">
        <v>944</v>
      </c>
      <c r="F2" t="inlineStr">
        <is>
          <t>передняя кромка 0→156 мм</t>
        </is>
      </c>
    </row>
    <row r="3">
      <c r="A3" t="inlineStr">
        <is>
          <t>Левый скат (свес 0.40 м)</t>
        </is>
      </c>
      <c r="B3" t="n">
        <v>2</v>
      </c>
      <c r="C3" t="n">
        <v>3.19</v>
      </c>
      <c r="D3" t="n">
        <v>1100</v>
      </c>
      <c r="E3" t="n">
        <v>1100</v>
      </c>
      <c r="F3" t="inlineStr">
        <is>
          <t>целый</t>
        </is>
      </c>
    </row>
    <row r="4">
      <c r="A4" t="inlineStr">
        <is>
          <t>Левый скат (свес 0.40 м)</t>
        </is>
      </c>
      <c r="B4" t="n">
        <v>3</v>
      </c>
      <c r="C4" t="n">
        <v>3.19</v>
      </c>
      <c r="D4" t="n">
        <v>1100</v>
      </c>
      <c r="E4" t="n">
        <v>1100</v>
      </c>
      <c r="F4" t="inlineStr">
        <is>
          <t>целый</t>
        </is>
      </c>
    </row>
    <row r="5">
      <c r="A5" t="inlineStr">
        <is>
          <t>Левый скат (свес 0.40 м)</t>
        </is>
      </c>
      <c r="B5" t="n">
        <v>4</v>
      </c>
      <c r="C5" t="n">
        <v>3.19</v>
      </c>
      <c r="D5" t="n">
        <v>1100</v>
      </c>
      <c r="E5" t="n">
        <v>1100</v>
      </c>
      <c r="F5" t="inlineStr">
        <is>
          <t>целый</t>
        </is>
      </c>
    </row>
    <row r="6">
      <c r="A6" t="inlineStr">
        <is>
          <t>Левый скат (свес 0.40 м)</t>
        </is>
      </c>
      <c r="B6" t="n">
        <v>5</v>
      </c>
      <c r="C6" t="n">
        <v>3.19</v>
      </c>
      <c r="D6" t="n">
        <v>1100</v>
      </c>
      <c r="E6" t="n">
        <v>1100</v>
      </c>
      <c r="F6" t="inlineStr">
        <is>
          <t>целый</t>
        </is>
      </c>
    </row>
    <row r="7">
      <c r="A7" t="inlineStr">
        <is>
          <t>Левый скат (свес 0.40 м)</t>
        </is>
      </c>
      <c r="B7" t="n">
        <v>6</v>
      </c>
      <c r="C7" t="n">
        <v>3.19</v>
      </c>
      <c r="D7" t="n">
        <v>1100</v>
      </c>
      <c r="E7" t="n">
        <v>1100</v>
      </c>
      <c r="F7" t="inlineStr">
        <is>
          <t>целый</t>
        </is>
      </c>
    </row>
    <row r="8">
      <c r="A8" t="inlineStr">
        <is>
          <t>Левый скат (свес 0.40 м)</t>
        </is>
      </c>
      <c r="B8" t="n">
        <v>7</v>
      </c>
      <c r="C8" t="n">
        <v>3.19</v>
      </c>
      <c r="D8" t="n">
        <v>380</v>
      </c>
      <c r="E8" t="n">
        <v>536</v>
      </c>
      <c r="F8" t="inlineStr">
        <is>
          <t>задняя кромка 720→563 мм</t>
        </is>
      </c>
    </row>
    <row r="9">
      <c r="A9" t="inlineStr">
        <is>
          <t>Правый скат (свес 0.90 м)</t>
        </is>
      </c>
      <c r="B9" t="n">
        <v>1</v>
      </c>
      <c r="C9" t="n">
        <v>3.701</v>
      </c>
      <c r="D9" t="n">
        <v>919</v>
      </c>
      <c r="E9" t="n">
        <v>1100</v>
      </c>
      <c r="F9" t="inlineStr">
        <is>
          <t>передняя кромка 181→0 мм</t>
        </is>
      </c>
    </row>
    <row r="10">
      <c r="A10" t="inlineStr">
        <is>
          <t>Правый скат (свес 0.90 м)</t>
        </is>
      </c>
      <c r="B10" t="n">
        <v>2</v>
      </c>
      <c r="C10" t="n">
        <v>3.701</v>
      </c>
      <c r="D10" t="n">
        <v>1100</v>
      </c>
      <c r="E10" t="n">
        <v>1100</v>
      </c>
      <c r="F10" t="inlineStr">
        <is>
          <t>целый</t>
        </is>
      </c>
    </row>
    <row r="11">
      <c r="A11" t="inlineStr">
        <is>
          <t>Правый скат (свес 0.90 м)</t>
        </is>
      </c>
      <c r="B11" t="n">
        <v>3</v>
      </c>
      <c r="C11" t="n">
        <v>3.701</v>
      </c>
      <c r="D11" t="n">
        <v>1100</v>
      </c>
      <c r="E11" t="n">
        <v>1100</v>
      </c>
      <c r="F11" t="inlineStr">
        <is>
          <t>целый</t>
        </is>
      </c>
    </row>
    <row r="12">
      <c r="A12" t="inlineStr">
        <is>
          <t>Правый скат (свес 0.90 м)</t>
        </is>
      </c>
      <c r="B12" t="n">
        <v>4</v>
      </c>
      <c r="C12" t="n">
        <v>3.701</v>
      </c>
      <c r="D12" t="n">
        <v>1100</v>
      </c>
      <c r="E12" t="n">
        <v>1100</v>
      </c>
      <c r="F12" t="inlineStr">
        <is>
          <t>целый</t>
        </is>
      </c>
    </row>
    <row r="13">
      <c r="A13" t="inlineStr">
        <is>
          <t>Правый скат (свес 0.90 м)</t>
        </is>
      </c>
      <c r="B13" t="n">
        <v>5</v>
      </c>
      <c r="C13" t="n">
        <v>3.701</v>
      </c>
      <c r="D13" t="n">
        <v>1100</v>
      </c>
      <c r="E13" t="n">
        <v>1100</v>
      </c>
      <c r="F13" t="inlineStr">
        <is>
          <t>целый</t>
        </is>
      </c>
    </row>
    <row r="14">
      <c r="A14" t="inlineStr">
        <is>
          <t>Правый скат (свес 0.90 м)</t>
        </is>
      </c>
      <c r="B14" t="n">
        <v>6</v>
      </c>
      <c r="C14" t="n">
        <v>3.701</v>
      </c>
      <c r="D14" t="n">
        <v>1100</v>
      </c>
      <c r="E14" t="n">
        <v>1100</v>
      </c>
      <c r="F14" t="inlineStr">
        <is>
          <t>целый</t>
        </is>
      </c>
    </row>
    <row r="15">
      <c r="A15" t="inlineStr">
        <is>
          <t>Правый скат (свес 0.90 м)</t>
        </is>
      </c>
      <c r="B15" t="n">
        <v>7</v>
      </c>
      <c r="C15" t="n">
        <v>3.701</v>
      </c>
      <c r="D15" t="n">
        <v>561</v>
      </c>
      <c r="E15" t="n">
        <v>380</v>
      </c>
      <c r="F15" t="inlineStr">
        <is>
          <t>задняя кромка 538→720 мм</t>
        </is>
      </c>
    </row>
    <row r="17">
      <c r="A17" t="inlineStr">
        <is>
          <t>Итого 14 листов; площадь по габаритной ширине 1.18 м — 56.9 м², по полезной — 53.1 м²; кровля 48.2 м². Укладка от переднего края (дорога).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8" customWidth="1" min="4" max="4"/>
    <col width="10" customWidth="1" min="5" max="5"/>
    <col width="30" customWidth="1" min="6" max="6"/>
    <col width="60" customWidth="1" min="7" max="7"/>
  </cols>
  <sheetData>
    <row r="1">
      <c r="A1" s="1" t="inlineStr">
        <is>
          <t>Позиция</t>
        </is>
      </c>
      <c r="B1" s="1" t="inlineStr">
        <is>
          <t>Размер, мм</t>
        </is>
      </c>
      <c r="C1" s="1" t="inlineStr">
        <is>
          <t>t, мм</t>
        </is>
      </c>
      <c r="D1" s="1" t="inlineStr">
        <is>
          <t>Кол-во</t>
        </is>
      </c>
      <c r="E1" s="1" t="inlineStr">
        <is>
          <t>Масса, кг</t>
        </is>
      </c>
      <c r="F1" s="1" t="inlineStr">
        <is>
          <t>Где</t>
        </is>
      </c>
      <c r="G1" s="1" t="inlineStr">
        <is>
          <t>Из чего резать</t>
        </is>
      </c>
    </row>
    <row r="2">
      <c r="A2" t="inlineStr">
        <is>
          <t>Фасонка узла А</t>
        </is>
      </c>
      <c r="B2" t="inlineStr">
        <is>
          <t>трапеция 250 × 169 / 223</t>
        </is>
      </c>
      <c r="C2" t="n">
        <v>5</v>
      </c>
      <c r="D2" t="n">
        <v>8</v>
      </c>
      <c r="E2" t="n">
        <v>15.39</v>
      </c>
      <c r="F2" t="inlineStr">
        <is>
          <t>узлы А (4 × 2), ставятся на объекте</t>
        </is>
      </c>
      <c r="G2" t="inlineStr">
        <is>
          <t>полоса 250 мм из листа t=5: 4 пары «валетом» по 392 мм → 250 × 1568</t>
        </is>
      </c>
    </row>
    <row r="3">
      <c r="A3" t="inlineStr">
        <is>
          <t>Фасонка узла Б</t>
        </is>
      </c>
      <c r="B3" t="inlineStr">
        <is>
          <t>трапеция 230 × 164 / 213</t>
        </is>
      </c>
      <c r="C3" t="n">
        <v>5</v>
      </c>
      <c r="D3" t="n">
        <v>4</v>
      </c>
      <c r="E3" t="n">
        <v>6.79</v>
      </c>
      <c r="F3" t="inlineStr">
        <is>
          <t>узлы Б (2 × 2), в цеху на средней раме</t>
        </is>
      </c>
      <c r="G3" t="inlineStr">
        <is>
          <t>полоса 230 мм из листа t=5: 2 пары «валетом» по 377 мм → 230 × 754</t>
        </is>
      </c>
    </row>
    <row r="4">
      <c r="A4" t="inlineStr">
        <is>
          <t>Опорный столик боковой фермы</t>
        </is>
      </c>
      <c r="B4" t="inlineStr">
        <is>
          <t>370 × 80</t>
        </is>
      </c>
      <c r="C4" t="n">
        <v>8</v>
      </c>
      <c r="D4" t="n">
        <v>2</v>
      </c>
      <c r="E4" t="n">
        <v>3.72</v>
      </c>
      <c r="F4" t="inlineStr">
        <is>
          <t>вершина боковой фермы</t>
        </is>
      </c>
      <c r="G4" t="inlineStr">
        <is>
          <t>полоса 80×8: 2 × 370 = 740 мм</t>
        </is>
      </c>
    </row>
    <row r="5">
      <c r="A5" t="inlineStr">
        <is>
          <t>Опорная пластина под стропило</t>
        </is>
      </c>
      <c r="B5" t="inlineStr">
        <is>
          <t>140 × 60</t>
        </is>
      </c>
      <c r="C5" t="n">
        <v>6</v>
      </c>
      <c r="D5" t="n">
        <v>6</v>
      </c>
      <c r="E5" t="n">
        <v>2.37</v>
      </c>
      <c r="F5" t="inlineStr">
        <is>
          <t>верх колонн и стоек-вставок</t>
        </is>
      </c>
      <c r="G5" t="inlineStr">
        <is>
          <t>полоса 60×6: 6 × 140 = 840 мм</t>
        </is>
      </c>
    </row>
    <row r="6">
      <c r="A6" t="inlineStr">
        <is>
          <t>Заглушка низа колонны</t>
        </is>
      </c>
      <c r="B6" t="inlineStr">
        <is>
          <t>110 × 70</t>
        </is>
      </c>
      <c r="C6" t="n">
        <v>4</v>
      </c>
      <c r="D6" t="n">
        <v>4</v>
      </c>
      <c r="E6" t="n">
        <v>0.97</v>
      </c>
      <c r="F6" t="inlineStr">
        <is>
          <t>низ колонн в лунке</t>
        </is>
      </c>
      <c r="G6" t="inlineStr">
        <is>
          <t>лист t=4: 4 шт → 220 × 140</t>
        </is>
      </c>
    </row>
    <row r="7">
      <c r="A7" t="inlineStr">
        <is>
          <t>Заглушка торца стропила в свесе</t>
        </is>
      </c>
      <c r="B7" t="inlineStr">
        <is>
          <t>100 × 60</t>
        </is>
      </c>
      <c r="C7" t="n">
        <v>2</v>
      </c>
      <c r="D7" t="n">
        <v>6</v>
      </c>
      <c r="E7" t="n">
        <v>0.57</v>
      </c>
      <c r="F7" t="inlineStr">
        <is>
          <t>концы стропил у карниза</t>
        </is>
      </c>
      <c r="G7" t="inlineStr">
        <is>
          <t>лист t=2 (или пластиковые заглушки 100×60)</t>
        </is>
      </c>
    </row>
    <row r="8">
      <c r="A8" t="inlineStr">
        <is>
          <t>Заглушка торца обрешётины</t>
        </is>
      </c>
      <c r="B8" t="inlineStr">
        <is>
          <t>35 × 35</t>
        </is>
      </c>
      <c r="C8" t="inlineStr">
        <is>
          <t>—</t>
        </is>
      </c>
      <c r="D8" t="n">
        <v>38</v>
      </c>
      <c r="E8" t="n">
        <v>0</v>
      </c>
      <c r="F8" t="inlineStr">
        <is>
          <t>торцы обрешётин на кромках кровли</t>
        </is>
      </c>
      <c r="G8" t="inlineStr">
        <is>
          <t>пластиковые заглушки 35×35</t>
        </is>
      </c>
    </row>
    <row r="9">
      <c r="A9" t="inlineStr">
        <is>
          <t>Заглушка торца карнизной обрешётины и обвязки</t>
        </is>
      </c>
      <c r="B9" t="inlineStr">
        <is>
          <t>50 × 30</t>
        </is>
      </c>
      <c r="C9" t="inlineStr">
        <is>
          <t>—</t>
        </is>
      </c>
      <c r="D9" t="n">
        <v>8</v>
      </c>
      <c r="E9" t="n">
        <v>0</v>
      </c>
      <c r="F9" t="inlineStr">
        <is>
          <t>торцы карнизных обрешётин (4) и обвязки у карниза (4)</t>
        </is>
      </c>
      <c r="G9" t="inlineStr">
        <is>
          <t>пластиковые заглушки 50×30</t>
        </is>
      </c>
    </row>
    <row r="10">
      <c r="A10" t="inlineStr">
        <is>
          <t>Пруток Ø6 под коньковую обрешётину</t>
        </is>
      </c>
      <c r="B10" t="inlineStr">
        <is>
          <t>Ø6: 6 × 60 + 4 × 30 мм</t>
        </is>
      </c>
      <c r="C10" t="inlineStr">
        <is>
          <t>—</t>
        </is>
      </c>
      <c r="D10" t="n">
        <v>10</v>
      </c>
      <c r="E10" t="n">
        <v>0.07000000000000001</v>
      </c>
      <c r="F10" t="inlineStr">
        <is>
          <t>клиновой зазор под коньковой обрешётиной на стропилах (6) и на обвязке (4)</t>
        </is>
      </c>
      <c r="G10" t="inlineStr">
        <is>
          <t>катанка / арматура Ø6, ≈ 0.5 м</t>
        </is>
      </c>
    </row>
    <row r="11">
      <c r="A11" t="inlineStr">
        <is>
          <t>Заглушка торца коньковой обрешётины</t>
        </is>
      </c>
      <c r="B11" t="inlineStr">
        <is>
          <t>60 × 60</t>
        </is>
      </c>
      <c r="C11" t="inlineStr">
        <is>
          <t>—</t>
        </is>
      </c>
      <c r="D11" t="n">
        <v>2</v>
      </c>
      <c r="E11" t="n">
        <v>0</v>
      </c>
      <c r="F11" t="inlineStr">
        <is>
          <t>торцы коньковой обрешётины</t>
        </is>
      </c>
      <c r="G11" t="inlineStr">
        <is>
          <t>пластиковые заглушки 60×60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Элемент</t>
        </is>
      </c>
      <c r="B1" s="1" t="inlineStr">
        <is>
          <t>Сечение</t>
        </is>
      </c>
      <c r="C1" s="1" t="inlineStr">
        <is>
          <t>N сж, кН</t>
        </is>
      </c>
      <c r="D1" s="1" t="inlineStr">
        <is>
          <t>N раст, кН</t>
        </is>
      </c>
      <c r="E1" s="1" t="inlineStr">
        <is>
          <t>M, кН·м</t>
        </is>
      </c>
      <c r="F1" s="1" t="inlineStr">
        <is>
          <t>Коэф. исп.</t>
        </is>
      </c>
      <c r="G1" s="1" t="inlineStr">
        <is>
          <t>Определяющая проверка</t>
        </is>
      </c>
    </row>
    <row r="2">
      <c r="A2" t="inlineStr">
        <is>
          <t>Колонны</t>
        </is>
      </c>
      <c r="B2" t="inlineStr">
        <is>
          <t>□100×60×4</t>
        </is>
      </c>
      <c r="C2" t="n">
        <v>24.32</v>
      </c>
      <c r="D2" t="n">
        <v>0</v>
      </c>
      <c r="E2" t="n">
        <v>2.341</v>
      </c>
      <c r="F2" t="n">
        <v>0.834</v>
      </c>
      <c r="G2" t="inlineStr">
        <is>
          <t>гибкость [D+S+0.9W+y]</t>
        </is>
      </c>
    </row>
    <row r="3">
      <c r="A3" t="inlineStr">
        <is>
          <t>Стропила</t>
        </is>
      </c>
      <c r="B3" t="inlineStr">
        <is>
          <t>□100×60×3</t>
        </is>
      </c>
      <c r="C3" t="n">
        <v>25.47</v>
      </c>
      <c r="D3" t="n">
        <v>1.88</v>
      </c>
      <c r="E3" t="n">
        <v>3.591</v>
      </c>
      <c r="F3" t="n">
        <v>0.842</v>
      </c>
      <c r="G3" t="inlineStr">
        <is>
          <t>устойчивость [D+S+0.9W+x]</t>
        </is>
      </c>
    </row>
    <row r="4">
      <c r="A4" t="inlineStr">
        <is>
          <t>Затяжки</t>
        </is>
      </c>
      <c r="B4" t="inlineStr">
        <is>
          <t>□60×60×2</t>
        </is>
      </c>
      <c r="C4" t="n">
        <v>2.36</v>
      </c>
      <c r="D4" t="n">
        <v>26.1</v>
      </c>
      <c r="E4" t="n">
        <v>1.186</v>
      </c>
      <c r="F4" t="n">
        <v>0.789</v>
      </c>
      <c r="G4" t="inlineStr">
        <is>
          <t>прочность [D+S+0.9W+x]</t>
        </is>
      </c>
    </row>
    <row r="5">
      <c r="A5" t="inlineStr">
        <is>
          <t>Подвеска (стойка у конька)</t>
        </is>
      </c>
      <c r="B5" t="inlineStr">
        <is>
          <t>□20×20×2</t>
        </is>
      </c>
      <c r="C5" t="n">
        <v>0.05</v>
      </c>
      <c r="D5" t="n">
        <v>2.6</v>
      </c>
      <c r="E5" t="n">
        <v>0.018</v>
      </c>
      <c r="F5" t="n">
        <v>0.526</v>
      </c>
      <c r="G5" t="inlineStr">
        <is>
          <t>гибкость [0.95D+W-x]</t>
        </is>
      </c>
    </row>
    <row r="6">
      <c r="A6" t="inlineStr">
        <is>
          <t>Подкосы фермы</t>
        </is>
      </c>
      <c r="B6" t="inlineStr">
        <is>
          <t>□20×20×2</t>
        </is>
      </c>
      <c r="C6" t="n">
        <v>5.54</v>
      </c>
      <c r="D6" t="n">
        <v>2.85</v>
      </c>
      <c r="E6" t="n">
        <v>0.005</v>
      </c>
      <c r="F6" t="n">
        <v>0.893</v>
      </c>
      <c r="G6" t="inlineStr">
        <is>
          <t>гибкость [D+S(лів.)]</t>
        </is>
      </c>
    </row>
    <row r="7">
      <c r="A7" t="inlineStr">
        <is>
          <t>Доп. решётка ферм у опор</t>
        </is>
      </c>
      <c r="B7" t="inlineStr">
        <is>
          <t>□20×20×2</t>
        </is>
      </c>
      <c r="C7" t="n">
        <v>4.47</v>
      </c>
      <c r="D7" t="n">
        <v>1.08</v>
      </c>
      <c r="E7" t="n">
        <v>0.02</v>
      </c>
      <c r="F7" t="n">
        <v>0.769</v>
      </c>
      <c r="G7" t="inlineStr">
        <is>
          <t>гибкость [D+S+0.9W+x]</t>
        </is>
      </c>
    </row>
    <row r="8">
      <c r="A8" t="inlineStr">
        <is>
          <t>Обрешётка</t>
        </is>
      </c>
      <c r="B8" t="inlineStr">
        <is>
          <t>□35×35×2</t>
        </is>
      </c>
      <c r="C8" t="n">
        <v>1.76</v>
      </c>
      <c r="D8" t="n">
        <v>0.87</v>
      </c>
      <c r="E8" t="n">
        <v>0.446</v>
      </c>
      <c r="F8" t="n">
        <v>0.9330000000000001</v>
      </c>
      <c r="G8" t="inlineStr">
        <is>
          <t>устойчивость [D+S+0.9W-x]</t>
        </is>
      </c>
    </row>
    <row r="9">
      <c r="A9" t="inlineStr">
        <is>
          <t>Торцевая обвязка обрешётки</t>
        </is>
      </c>
      <c r="B9" t="inlineStr">
        <is>
          <t>□50×30×2</t>
        </is>
      </c>
      <c r="C9" t="n">
        <v>1.29</v>
      </c>
      <c r="D9" t="n">
        <v>0.11</v>
      </c>
      <c r="E9" t="n">
        <v>0.262</v>
      </c>
      <c r="F9" t="n">
        <v>0.659</v>
      </c>
      <c r="G9" t="inlineStr">
        <is>
          <t>устойчивость [D+S]</t>
        </is>
      </c>
    </row>
    <row r="10">
      <c r="A10" t="inlineStr">
        <is>
          <t>Карнизные обрешётины</t>
        </is>
      </c>
      <c r="B10" t="inlineStr">
        <is>
          <t>□50×30×2</t>
        </is>
      </c>
      <c r="C10" t="n">
        <v>0.6</v>
      </c>
      <c r="D10" t="n">
        <v>0.12</v>
      </c>
      <c r="E10" t="n">
        <v>0.517</v>
      </c>
      <c r="F10" t="n">
        <v>0.742</v>
      </c>
      <c r="G10" t="inlineStr">
        <is>
          <t>устойчивость [D+S+0.9W+x]</t>
        </is>
      </c>
    </row>
    <row r="11">
      <c r="A11" t="inlineStr">
        <is>
          <t>Коньковая обрешётина</t>
        </is>
      </c>
      <c r="B11" t="inlineStr">
        <is>
          <t>□60×60×2</t>
        </is>
      </c>
      <c r="C11" t="n">
        <v>0</v>
      </c>
      <c r="D11" t="n">
        <v>3.09</v>
      </c>
      <c r="E11" t="n">
        <v>0.914</v>
      </c>
      <c r="F11" t="n">
        <v>0.643</v>
      </c>
      <c r="G11" t="inlineStr">
        <is>
          <t>стенка c/t изг. [D+S]</t>
        </is>
      </c>
    </row>
    <row r="12">
      <c r="A12" t="inlineStr">
        <is>
          <t>Раскосы боковой фермы</t>
        </is>
      </c>
      <c r="B12" t="inlineStr">
        <is>
          <t>□60×60×2</t>
        </is>
      </c>
      <c r="C12" t="n">
        <v>21.04</v>
      </c>
      <c r="D12" t="n">
        <v>0</v>
      </c>
      <c r="E12" t="n">
        <v>0.183</v>
      </c>
      <c r="F12" t="n">
        <v>0.643</v>
      </c>
      <c r="G12" t="inlineStr">
        <is>
          <t>стенка c/t [D+S]</t>
        </is>
      </c>
    </row>
    <row r="13">
      <c r="A13" t="inlineStr">
        <is>
          <t>Нижний пояс боковой фермы</t>
        </is>
      </c>
      <c r="B13" t="inlineStr">
        <is>
          <t>□60×60×2</t>
        </is>
      </c>
      <c r="C13" t="n">
        <v>0</v>
      </c>
      <c r="D13" t="n">
        <v>18.02</v>
      </c>
      <c r="E13" t="n">
        <v>0.276</v>
      </c>
      <c r="F13" t="n">
        <v>0.643</v>
      </c>
      <c r="G13" t="inlineStr">
        <is>
          <t>стенка c/t изг. [D+S]</t>
        </is>
      </c>
    </row>
    <row r="14">
      <c r="A14" t="inlineStr">
        <is>
          <t>Стойка-вставка средней рамы</t>
        </is>
      </c>
      <c r="B14" t="inlineStr">
        <is>
          <t>□60×60×3</t>
        </is>
      </c>
      <c r="C14" t="n">
        <v>14</v>
      </c>
      <c r="D14" t="n">
        <v>0</v>
      </c>
      <c r="E14" t="n">
        <v>1.511</v>
      </c>
      <c r="F14" t="n">
        <v>0.655</v>
      </c>
      <c r="G14" t="inlineStr">
        <is>
          <t>устойчивость [D+S]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10" customWidth="1" min="4" max="4"/>
    <col width="120" customWidth="1" min="5" max="5"/>
  </cols>
  <sheetData>
    <row r="1">
      <c r="A1" s="1" t="inlineStr">
        <is>
          <t>Схема</t>
        </is>
      </c>
      <c r="B1" s="1" t="inlineStr">
        <is>
          <t>Итог, грн</t>
        </is>
      </c>
      <c r="C1" s="1" t="inlineStr">
        <is>
          <t>Трубы, грн</t>
        </is>
      </c>
      <c r="D1" s="1" t="inlineStr">
        <is>
          <t>Масса, кг</t>
        </is>
      </c>
      <c r="E1" s="1" t="inlineStr">
        <is>
          <t>Сечения</t>
        </is>
      </c>
    </row>
    <row r="2">
      <c r="A2" t="inlineStr">
        <is>
          <t>3 рамы (средняя на боковых фермах), без верхн. пояса, низ. пояс +2.10, подвеска + подкосы фермы, без попер. подкосов, без связей</t>
        </is>
      </c>
      <c r="B2" t="n">
        <v>185164</v>
      </c>
      <c r="C2" t="n">
        <v>44236</v>
      </c>
      <c r="D2" t="n">
        <v>730</v>
      </c>
      <c r="E2" t="inlineStr">
        <is>
          <t>Подкосы фермы: □20×20×2; Нижний пояс боковой фермы: □35×35×2; Колонны: □100×50×4; Раскосы боковой фермы: □60×60×2; Стропила: □100×60×3; Стойка-вставка средней рамы: □70×70×2; Обрешётка: □35×35×2; Затяжки: □60×60×2; Подвеска (стойка у конька): □20×20×2</t>
        </is>
      </c>
    </row>
    <row r="3">
      <c r="A3" t="inlineStr">
        <is>
          <t>3 рамы (средняя на боковых фермах), верхн. пояс, низ. пояс +2.10, подвеска, без попер. подкосов, без связей</t>
        </is>
      </c>
      <c r="B3" t="n">
        <v>185802</v>
      </c>
      <c r="C3" t="n">
        <v>46085</v>
      </c>
      <c r="D3" t="n">
        <v>757</v>
      </c>
      <c r="E3" t="inlineStr">
        <is>
          <t>Нижний пояс боковой фермы: □35×35×2; Верхний пояс боковой фермы / обвязка: □40×40×2; Колонны: □100×60×4; Раскосы боковой фермы: □50×50×2; Стропила: □120×60×2,8; Стойка-вставка средней рамы: □70×70×2; Обрешётка: □40×30×2; Затяжки: □60×60×2; Подвеска (стойка у конька): □20×20×2</t>
        </is>
      </c>
    </row>
    <row r="4">
      <c r="A4" t="inlineStr">
        <is>
          <t>3 рамы (средняя на боковых фермах), без верхн. пояса, низ. пояс +2.10, подвеска + подкосы фермы, попер. подкосы, без связей</t>
        </is>
      </c>
      <c r="B4" t="n">
        <v>185863</v>
      </c>
      <c r="C4" t="n">
        <v>43344</v>
      </c>
      <c r="D4" t="n">
        <v>726</v>
      </c>
      <c r="E4" t="inlineStr">
        <is>
          <t>Подкосы фермы: □30×20×2; Нижний пояс боковой фермы: □35×35×2; Колонны: □80×80×4; Раскосы боковой фермы: □50×50×2; Стропила: □100×60×3; Стойка-вставка средней рамы: □70×70×2; Обрешётка: □35×35×2; Подкосы колонна→затяжка: □20×20×2; Затяжки: □45×45×2; Подвеска (стойка у конька): □20×20×2</t>
        </is>
      </c>
    </row>
    <row r="5">
      <c r="A5" t="inlineStr">
        <is>
          <t>3 рамы (средняя на боковых фермах), без верхн. пояса, низ. пояс +2.10, подвеска, без попер. подкосов, без связей</t>
        </is>
      </c>
      <c r="B5" t="n">
        <v>186096</v>
      </c>
      <c r="C5" t="n">
        <v>47254</v>
      </c>
      <c r="D5" t="n">
        <v>776</v>
      </c>
      <c r="E5" t="inlineStr">
        <is>
          <t>Нижний пояс боковой фермы: □35×35×2; Колонны: □120×80×4; Раскосы боковой фермы: □50×50×2; Стропила: □120×60×2,8; Стойка-вставка средней рамы: □70×70×2; Обрешётка: □40×30×2; Затяжки: □60×60×2; Подвеска (стойка у конька): □20×20×2</t>
        </is>
      </c>
    </row>
    <row r="6">
      <c r="A6" t="inlineStr">
        <is>
          <t>3 рамы (средняя на боковых фермах), верхн. пояс, низ. пояс +2.10, подвеска + подкосы фермы, без попер. подкосов, без связей</t>
        </is>
      </c>
      <c r="B6" t="n">
        <v>186815</v>
      </c>
      <c r="C6" t="n">
        <v>44774</v>
      </c>
      <c r="D6" t="n">
        <v>746</v>
      </c>
      <c r="E6" t="inlineStr">
        <is>
          <t>Подкосы фермы: □20×20×2; Нижний пояс боковой фермы: □35×35×2; Верхний пояс боковой фермы / обвязка: □40×40×2; Колонны: □80×80×4; Раскосы боковой фермы: □50×50×2; Стропила: □100×60×3; Стойка-вставка средней рамы: □70×70×2; Обрешётка: □35×35×2; Затяжки: □50×50×2; Подвеска (стойка у конька): □20×20×2</t>
        </is>
      </c>
    </row>
    <row r="7">
      <c r="A7" t="inlineStr">
        <is>
          <t>3 рамы (средняя на боковых фермах), верхн. пояс, низ. пояс +2.10, подвеска, попер. подкосы, без связей</t>
        </is>
      </c>
      <c r="B7" t="n">
        <v>186866</v>
      </c>
      <c r="C7" t="n">
        <v>45451</v>
      </c>
      <c r="D7" t="n">
        <v>752</v>
      </c>
      <c r="E7" t="inlineStr">
        <is>
          <t>Нижний пояс боковой фермы: □35×35×2; Верхний пояс боковой фермы / обвязка: □40×40×2; Колонны: □80×80×4; Раскосы боковой фермы: □50×50×2; Стропила: □120×60×2,8; Стойка-вставка средней рамы: □70×70×2; Обрешётка: □40×30×2; Подкосы колонна→затяжка: □20×20×2; Затяжки: □60×40×2; Подвеска (стойка у конька): □20×20×2</t>
        </is>
      </c>
    </row>
    <row r="8">
      <c r="A8" t="inlineStr">
        <is>
          <t>3 рамы (средняя на боковых фермах), без верхн. пояса, низ. пояс +2.10, подвеска, попер. подкосы, без связей</t>
        </is>
      </c>
      <c r="B8" t="n">
        <v>187661</v>
      </c>
      <c r="C8" t="n">
        <v>46987</v>
      </c>
      <c r="D8" t="n">
        <v>772</v>
      </c>
      <c r="E8" t="inlineStr">
        <is>
          <t>Нижний пояс боковой фермы: □35×35×2; Колонны: □120×80×4; Раскосы боковой фермы: □50×50×2; Стропила: □120×60×2,8; Стойка-вставка средней рамы: □70×70×2; Обрешётка: □40×30×2; Подкосы колонна→затяжка: □20×20×2; Затяжки: □60×40×2; Подвеска (стойка у конька): □40×25×2</t>
        </is>
      </c>
    </row>
    <row r="9">
      <c r="A9" t="inlineStr">
        <is>
          <t>3 рамы (средняя на боковых фермах), верхн. пояс, низ. пояс +2.10, подвеска + подкосы фермы, попер. подкосы, без связей</t>
        </is>
      </c>
      <c r="B9" t="n">
        <v>188850</v>
      </c>
      <c r="C9" t="n">
        <v>44710</v>
      </c>
      <c r="D9" t="n">
        <v>742</v>
      </c>
      <c r="E9" t="inlineStr">
        <is>
          <t>Подкосы фермы: □20×20×2; Нижний пояс боковой фермы: □35×35×2; Верхний пояс боковой фермы / обвязка: □40×40×2; Колонны: □100×50×3,8; Раскосы боковой фермы: □60×60×2; Стропила: □100×60×3; Стойка-вставка средней рамы: □80×40×4; Обрешётка: □35×35×2; Подкосы колонна→затяжка: □40×20×2; Затяжки: □60×40×2; Подвеска (стойка у конька): □20×20×2</t>
        </is>
      </c>
    </row>
    <row r="10">
      <c r="A10" t="inlineStr">
        <is>
          <t>3 рамы (средняя на боковых фермах), без верхн. пояса, низ. пояс +2.10, подвеска + подкосы фермы, без попер. подкосов, связи по скатам</t>
        </is>
      </c>
      <c r="B10" t="n">
        <v>193948</v>
      </c>
      <c r="C10" t="n">
        <v>45056</v>
      </c>
      <c r="D10" t="n">
        <v>750</v>
      </c>
      <c r="E10" t="inlineStr">
        <is>
          <t>Подкосы фермы: □20×20×2; Нижний пояс боковой фермы: □40×40×2; Колонны: □80×80×4; Связи по скатам: □20×20×2; Раскосы боковой фермы: □50×50×2; Стропила: □100×60×3; Стойка-вставка средней рамы: □70×70×2; Обрешётка: □35×35×2; Затяжки: □50×50×2; Подвеска (стойка у конька): □20×20×2</t>
        </is>
      </c>
    </row>
    <row r="11">
      <c r="A11" t="inlineStr">
        <is>
          <t>3 рамы (средняя на боковых фермах), без верхн. пояса, низ. пояс +2.10, подвеска + подкосы фермы, попер. подкосы, связи по скатам</t>
        </is>
      </c>
      <c r="B11" t="n">
        <v>195345</v>
      </c>
      <c r="C11" t="n">
        <v>44771</v>
      </c>
      <c r="D11" t="n">
        <v>747</v>
      </c>
      <c r="E11" t="inlineStr">
        <is>
          <t>Подкосы фермы: □20×20×2; Нижний пояс боковой фермы: □35×35×2; Колонны: □80×80×4; Связи по скатам: □20×20×2; Раскосы боковой фермы: □50×50×2; Стропила: □100×60×3; Стойка-вставка средней рамы: □80×60×2; Обрешётка: □35×35×2; Подкосы колонна→затяжка: □20×20×2; Затяжки: □50×40×2; Подвеска (стойка у конька): □20×20×2</t>
        </is>
      </c>
    </row>
    <row r="12">
      <c r="A12" t="inlineStr">
        <is>
          <t>3 рамы (средняя на боковых фермах), без верхн. пояса, низ. пояс +2.10, подвеска, попер. подкосы, связи по скатам</t>
        </is>
      </c>
      <c r="B12" t="n">
        <v>195785</v>
      </c>
      <c r="C12" t="n">
        <v>46929</v>
      </c>
      <c r="D12" t="n">
        <v>779</v>
      </c>
      <c r="E12" t="inlineStr">
        <is>
          <t>Нижний пояс боковой фермы: □40×40×2,1; Колонны: □80×80×4; Связи по скатам: □50×20×2; Раскосы боковой фермы: □50×50×2; Стропила: □120×60×2,8; Стойка-вставка средней рамы: □80×40×4; Обрешётка: □35×35×2; Подкосы колонна→затяжка: □20×20×2; Затяжки: □60×40×2; Подвеска (стойка у конька): □30×20×2</t>
        </is>
      </c>
    </row>
    <row r="13">
      <c r="A13" t="inlineStr">
        <is>
          <t>3 рамы (средняя на боковых фермах), верхн. пояс, низ. пояс +2.10, подвеска + подкосы фермы, без попер. подкосов, связи по скатам</t>
        </is>
      </c>
      <c r="B13" t="n">
        <v>196503</v>
      </c>
      <c r="C13" t="n">
        <v>46225</v>
      </c>
      <c r="D13" t="n">
        <v>769</v>
      </c>
      <c r="E13" t="inlineStr">
        <is>
          <t>Подкосы фермы: □20×20×2; Нижний пояс боковой фермы: □35×35×2; Верхний пояс боковой фермы / обвязка: □40×40×2; Колонны: □80×80×4; Связи по скатам: □20×20×2; Раскосы боковой фермы: □50×50×2; Стропила: □100×60×3; Стойка-вставка средней рамы: □70×70×2; Обрешётка: □35×35×2; Затяжки: □50×50×2; Подвеска (стойка у конька): □20×20×2</t>
        </is>
      </c>
    </row>
    <row r="14">
      <c r="A14" t="inlineStr">
        <is>
          <t>3 рамы (средняя на боковых фермах), верхн. пояс, низ. пояс +2.10, подвеска, без попер. подкосов, связи по скатам</t>
        </is>
      </c>
      <c r="B14" t="n">
        <v>196908</v>
      </c>
      <c r="C14" t="n">
        <v>48576</v>
      </c>
      <c r="D14" t="n">
        <v>796</v>
      </c>
      <c r="E14" t="inlineStr">
        <is>
          <t>Нижний пояс боковой фермы: □50×30×2 пл.; Верхний пояс боковой фермы / обвязка: □40×40×2; Колонны: □100×50×3,8; Связи по скатам: □50×20×2; Раскосы боковой фермы: □45×45×3; Стропила: □120×60×2,8; Стойка-вставка средней рамы: □90×30×2; Обрешётка: □40×30×2; Затяжки: □60×60×2; Подвеска (стойка у конька): □30×20×2</t>
        </is>
      </c>
    </row>
    <row r="15">
      <c r="A15" t="inlineStr">
        <is>
          <t>2 рамы (только по колоннам), подвеска, без попер. подкосов, без связей</t>
        </is>
      </c>
      <c r="B15" t="n">
        <v>196961</v>
      </c>
      <c r="C15" t="n">
        <v>63623</v>
      </c>
      <c r="D15" t="n">
        <v>1060</v>
      </c>
      <c r="E15" t="inlineStr">
        <is>
          <t>Колонны: □140×140×4; Стропила: □160×80×4; Обрешётка: □60×60×2; Затяжки: □50×50×2; Подвеска (стойка у конька): □20×20×2</t>
        </is>
      </c>
    </row>
    <row r="16">
      <c r="A16" t="inlineStr">
        <is>
          <t>3 рамы (средняя на боковых фермах), верхн. пояс, низ. пояс +2.10, подвеска, попер. подкосы, связи по скатам</t>
        </is>
      </c>
      <c r="B16" t="n">
        <v>198474</v>
      </c>
      <c r="C16" t="n">
        <v>48172</v>
      </c>
      <c r="D16" t="n">
        <v>794</v>
      </c>
      <c r="E16" t="inlineStr">
        <is>
          <t>Нижний пояс боковой фермы: □45×45×2; Верхний пояс боковой фермы / обвязка: □40×40×2; Колонны: □100×50×3,8; Связи по скатам: □50×20×2; Раскосы боковой фермы: □45×45×3; Стропила: □120×60×2,8; Стойка-вставка средней рамы: □90×30×2; Обрешётка: □35×35×2; Подкосы колонна→затяжка: □20×20×2; Затяжки: □60×40×2; Подвеска (стойка у конька): □40×40×2</t>
        </is>
      </c>
    </row>
    <row r="17">
      <c r="A17" t="inlineStr">
        <is>
          <t>3 рамы (средняя на боковых фермах), верхн. пояс, низ. пояс +2.10, подвеска + подкосы фермы, попер. подкосы, связи по скатам</t>
        </is>
      </c>
      <c r="B17" t="n">
        <v>198495</v>
      </c>
      <c r="C17" t="n">
        <v>46440</v>
      </c>
      <c r="D17" t="n">
        <v>768</v>
      </c>
      <c r="E17" t="inlineStr">
        <is>
          <t>Подкосы фермы: □20×20×2; Нижний пояс боковой фермы: □35×35×2; Верхний пояс боковой фермы / обвязка: □40×40×2; Колонны: □80×80×4; Связи по скатам: □20×20×2; Раскосы боковой фермы: □50×50×2; Стропила: □100×60×3; Стойка-вставка средней рамы: □70×70×2; Обрешётка: □40×30×2; Подкосы колонна→затяжка: □20×20×2; Затяжки: □50×40×2; Подвеска (стойка у конька): □20×20×2</t>
        </is>
      </c>
    </row>
    <row r="18">
      <c r="A18" t="inlineStr">
        <is>
          <t>3 рамы (средняя на боковых фермах), без верхн. пояса, низ. пояс +2.10, подвеска, без попер. подкосов, связи по скатам</t>
        </is>
      </c>
      <c r="B18" t="n">
        <v>198519</v>
      </c>
      <c r="C18" t="n">
        <v>50534</v>
      </c>
      <c r="D18" t="n">
        <v>833</v>
      </c>
      <c r="E18" t="inlineStr">
        <is>
          <t>Нижний пояс боковой фермы: □40×40×2; Колонны: □120×80×4; Связи по скатам: □50×20×2; Раскосы боковой фермы: □45×45×3; Стропила: □120×60×2,8; Стойка-вставка средней рамы: □70×70×2; Обрешётка: □35×35×2; Затяжки: □60×60×2; Подвеска (стойка у конька): □40×40×2</t>
        </is>
      </c>
    </row>
    <row r="19">
      <c r="A19" t="inlineStr">
        <is>
          <t>2 рамы (только по колоннам), подвеска, попер. подкосы, без связей</t>
        </is>
      </c>
      <c r="B19" t="n">
        <v>198842</v>
      </c>
      <c r="C19" t="n">
        <v>63543</v>
      </c>
      <c r="D19" t="n">
        <v>1060</v>
      </c>
      <c r="E19" t="inlineStr">
        <is>
          <t>Колонны: □140×140×4; Стропила: □160×80×4; Обрешётка: □60×60×2; Подкосы колонна→затяжка: □40×20×2; Затяжки: □40×40×2; Подвеска (стойка у конька): □20×20×2</t>
        </is>
      </c>
    </row>
    <row r="20">
      <c r="A20" t="inlineStr">
        <is>
          <t>2 рамы (только по колоннам), обвязка, подвеска, без попер. подкосов, без связей</t>
        </is>
      </c>
      <c r="B20" t="n">
        <v>199515</v>
      </c>
      <c r="C20" t="n">
        <v>64793</v>
      </c>
      <c r="D20" t="n">
        <v>1078</v>
      </c>
      <c r="E20" t="inlineStr">
        <is>
          <t>Колонны: □140×140×4; Стропила: □160×80×4; Продольная обвязка: □35×35×2; Обрешётка: □60×60×2; Затяжки: □50×50×2; Подвеска (стойка у конька): □20×20×2</t>
        </is>
      </c>
    </row>
    <row r="21">
      <c r="A21" t="inlineStr">
        <is>
          <t>2 рамы (только по колоннам), обвязка, подвеска, попер. подкосы, без связей</t>
        </is>
      </c>
      <c r="B21" t="n">
        <v>201397</v>
      </c>
      <c r="C21" t="n">
        <v>64712</v>
      </c>
      <c r="D21" t="n">
        <v>1078</v>
      </c>
      <c r="E21" t="inlineStr">
        <is>
          <t>Колонны: □140×140×4; Стропила: □160×80×4; Продольная обвязка: □35×35×2; Обрешётка: □60×60×2; Подкосы колонна→затяжка: □40×20×2; Затяжки: □40×40×2; Подвеска (стойка у конька): □20×20×2</t>
        </is>
      </c>
    </row>
    <row r="22">
      <c r="A22" t="inlineStr">
        <is>
          <t>2 рамы (только по колоннам), обвязка + прод. подкосы, подвеска + подкосы фермы, без попер. подкосов, без связей</t>
        </is>
      </c>
      <c r="B22" t="n">
        <v>202118</v>
      </c>
      <c r="C22" t="n">
        <v>63037</v>
      </c>
      <c r="D22" t="n">
        <v>1025</v>
      </c>
      <c r="E22" t="inlineStr">
        <is>
          <t>Подкосы фермы: □30×20×2; Продольные подкосы: □30×20×2; Колонны: □100×100×3,8; Стропила: □120×80×3; Продольная обвязка: □30×20×2 пл.; Обрешётка: □70×70×2; Затяжки: □60×60×2; Подвеска (стойка у конька): □20×20×2</t>
        </is>
      </c>
    </row>
    <row r="23">
      <c r="A23" t="inlineStr">
        <is>
          <t>2 рамы (только по колоннам), обвязка + прод. подкосы, подвеска + подкосы фермы, попер. подкосы, без связей</t>
        </is>
      </c>
      <c r="B23" t="n">
        <v>203878</v>
      </c>
      <c r="C23" t="n">
        <v>62953</v>
      </c>
      <c r="D23" t="n">
        <v>1024</v>
      </c>
      <c r="E23" t="inlineStr">
        <is>
          <t>Подкосы фермы: □30×20×2; Продольные подкосы: □30×20×2; Колонны: □100×100×3,8; Стропила: □120×80×3; Продольная обвязка: □30×20×2 пл.; Обрешётка: □70×70×2; Подкосы колонна→затяжка: □30×20×2; Затяжки: □60×40×2; Подвеска (стойка у конька): □20×20×2</t>
        </is>
      </c>
    </row>
    <row r="24">
      <c r="A24" t="inlineStr">
        <is>
          <t>2 рамы (только по колоннам), подвеска + подкосы фермы, без попер. подкосов, без связей</t>
        </is>
      </c>
      <c r="B24" t="n">
        <v>205070</v>
      </c>
      <c r="C24" t="n">
        <v>68215</v>
      </c>
      <c r="D24" t="n">
        <v>1126</v>
      </c>
      <c r="E24" t="inlineStr">
        <is>
          <t>Подкосы фермы: □20×20×2; Колонны: □140×140×4; Стропила: □120×80×4; Обрешётка: □70×70×2; Затяжки: □50×50×2; Подвеска (стойка у конька): □20×20×2</t>
        </is>
      </c>
    </row>
    <row r="25">
      <c r="A25" t="inlineStr">
        <is>
          <t>2 рамы (только по колоннам), обвязка + прод. подкосы, подвеска, без попер. подкосов, без связей</t>
        </is>
      </c>
      <c r="B25" t="n">
        <v>205097</v>
      </c>
      <c r="C25" t="n">
        <v>67173</v>
      </c>
      <c r="D25" t="n">
        <v>1100</v>
      </c>
      <c r="E25" t="inlineStr">
        <is>
          <t>Продольные подкосы: □30×20×2; Колонны: □100×100×3,8; Стропила: □160×80×4; Продольная обвязка: □60×40×2; Обрешётка: □70×70×2; Затяжки: □50×50×2; Подвеска (стойка у конька): □30×20×2</t>
        </is>
      </c>
    </row>
    <row r="26">
      <c r="A26" t="inlineStr">
        <is>
          <t>2 рамы (только по колоннам), подвеска + подкосы фермы, попер. подкосы, без связей</t>
        </is>
      </c>
      <c r="B26" t="n">
        <v>205748</v>
      </c>
      <c r="C26" t="n">
        <v>66759</v>
      </c>
      <c r="D26" t="n">
        <v>1105</v>
      </c>
      <c r="E26" t="inlineStr">
        <is>
          <t>Подкосы фермы: □30×20×2; Колонны: □140×140×4; Стропила: □120×80×3; Обрешётка: □70×70×2; Подкосы колонна→затяжка: □40×20×2; Затяжки: □45×45×3; Подвеска (стойка у конька): □20×20×2</t>
        </is>
      </c>
    </row>
    <row r="27">
      <c r="A27" t="inlineStr">
        <is>
          <t>2 рамы (только по колоннам), обвязка, подвеска + подкосы фермы, без попер. подкосов, без связей</t>
        </is>
      </c>
      <c r="B27" t="n">
        <v>205957</v>
      </c>
      <c r="C27" t="n">
        <v>67453</v>
      </c>
      <c r="D27" t="n">
        <v>1114</v>
      </c>
      <c r="E27" t="inlineStr">
        <is>
          <t>Подкосы фермы: □30×20×2; Колонны: □140×140×4; Стропила: □120×80×3; Продольная обвязка: □35×35×2; Обрешётка: □70×70×2; Затяжки: □60×60×2; Подвеска (стойка у конька): □20×20×2</t>
        </is>
      </c>
    </row>
    <row r="28">
      <c r="A28" t="inlineStr">
        <is>
          <t>2 рамы (только по колоннам), обвязка + прод. подкосы, подвеска, попер. подкосы, без связей</t>
        </is>
      </c>
      <c r="B28" t="n">
        <v>206733</v>
      </c>
      <c r="C28" t="n">
        <v>67020</v>
      </c>
      <c r="D28" t="n">
        <v>1099</v>
      </c>
      <c r="E28" t="inlineStr">
        <is>
          <t>Продольные подкосы: □30×20×2; Колонны: □100×100×3,8; Стропила: □160×80×4; Продольная обвязка: □60×40×2; Обрешётка: □70×70×2; Подкосы колонна→затяжка: □30×20×2; Затяжки: □40×40×2,1; Подвеска (стойка у конька): □20×20×2</t>
        </is>
      </c>
    </row>
    <row r="29">
      <c r="A29" t="inlineStr">
        <is>
          <t>2 рамы (только по колоннам), обвязка, подвеска + подкосы фермы, попер. подкосы, без связей</t>
        </is>
      </c>
      <c r="B29" t="n">
        <v>208302</v>
      </c>
      <c r="C29" t="n">
        <v>67928</v>
      </c>
      <c r="D29" t="n">
        <v>1123</v>
      </c>
      <c r="E29" t="inlineStr">
        <is>
          <t>Подкосы фермы: □30×20×2; Колонны: □140×140×4; Стропила: □120×80×3; Продольная обвязка: □35×35×2; Обрешётка: □70×70×2; Подкосы колонна→затяжка: □40×20×2; Затяжки: □45×45×3; Подвеска (стойка у конька): □20×20×2</t>
        </is>
      </c>
    </row>
    <row r="30">
      <c r="A30" t="inlineStr">
        <is>
          <t>2 рамы (только по колоннам), обвязка, подвеска + подкосы фермы, без попер. подкосов, связи по скатам</t>
        </is>
      </c>
      <c r="B30" t="n">
        <v>210166</v>
      </c>
      <c r="C30" t="n">
        <v>64414</v>
      </c>
      <c r="D30" t="n">
        <v>1059</v>
      </c>
      <c r="E30" t="inlineStr">
        <is>
          <t>Подкосы фермы: □30×20×2; Колонны: □140×100×4; Связи по скатам: □70×70×2; Стропила: □120×80×3; Продольная обвязка: □35×35×2; Обрешётка: □60×60×2; Затяжки: □50×50×2; Подвеска (стойка у конька): □20×20×2</t>
        </is>
      </c>
    </row>
    <row r="31">
      <c r="A31" t="inlineStr">
        <is>
          <t>2 рамы (только по колоннам), обвязка + прод. подкосы, подвеска + подкосы фермы, без попер. подкосов, связи по скатам</t>
        </is>
      </c>
      <c r="B31" t="n">
        <v>210815</v>
      </c>
      <c r="C31" t="n">
        <v>63203</v>
      </c>
      <c r="D31" t="n">
        <v>1019</v>
      </c>
      <c r="E31" t="inlineStr">
        <is>
          <t>Подкосы фермы: □30×20×2; Продольные подкосы: □30×20×2; Колонны: □100×100×3,8; Связи по скатам: □70×70×2; Стропила: □100×100×2,8; Продольная обвязка: □60×40×2; Обрешётка: □60×60×2; Затяжки: □50×50×2; Подвеска (стойка у конька): □25×25×2</t>
        </is>
      </c>
    </row>
    <row r="32">
      <c r="A32" t="inlineStr">
        <is>
          <t>2 рамы (только по колоннам), обвязка, подвеска, без попер. подкосов, связи по скатам</t>
        </is>
      </c>
      <c r="B32" t="n">
        <v>210850</v>
      </c>
      <c r="C32" t="n">
        <v>66996</v>
      </c>
      <c r="D32" t="n">
        <v>1112</v>
      </c>
      <c r="E32" t="inlineStr">
        <is>
          <t>Колонны: □140×100×4; Связи по скатам: □90×30×2; Стропила: □160×80×4; Продольная обвязка: □35×35×2; Обрешётка: □60×60×2; Затяжки: □50×50×2; Подвеска (стойка у конька): □20×20×2</t>
        </is>
      </c>
    </row>
    <row r="33">
      <c r="A33" t="inlineStr">
        <is>
          <t>2 рамы (только по колоннам), обвязка + прод. подкосы, подвеска, без попер. подкосов, связи по скатам</t>
        </is>
      </c>
      <c r="B33" t="n">
        <v>211326</v>
      </c>
      <c r="C33" t="n">
        <v>65578</v>
      </c>
      <c r="D33" t="n">
        <v>1062</v>
      </c>
      <c r="E33" t="inlineStr">
        <is>
          <t>Продольные подкосы: □30×20×2; Колонны: □120×120×3; Связи по скатам: □90×30×2; Стропила: □160×80×4; Продольная обвязка: □30×20×2 пл.; Обрешётка: □60×60×2; Затяжки: □50×50×2; Подвеска (стойка у конька): □20×20×2</t>
        </is>
      </c>
    </row>
    <row r="34">
      <c r="A34" t="inlineStr">
        <is>
          <t>2 рамы (только по колоннам), обвязка, подвеска + подкосы фермы, попер. подкосы, связи по скатам</t>
        </is>
      </c>
      <c r="B34" t="n">
        <v>211849</v>
      </c>
      <c r="C34" t="n">
        <v>64254</v>
      </c>
      <c r="D34" t="n">
        <v>1057</v>
      </c>
      <c r="E34" t="inlineStr">
        <is>
          <t>Подкосы фермы: □30×20×2; Колонны: □140×100×4; Связи по скатам: □70×70×2; Стропила: □120×80×3; Продольная обвязка: □35×35×2; Обрешётка: □60×60×2; Подкосы колонна→затяжка: □30×20×2; Затяжки: □40×40×2; Подвеска (стойка у конька): □20×20×2</t>
        </is>
      </c>
    </row>
    <row r="35">
      <c r="A35" t="inlineStr">
        <is>
          <t>2 рамы (только по колоннам), подвеска + подкосы фермы, без попер. подкосов, связи по скатам</t>
        </is>
      </c>
      <c r="B35" t="n">
        <v>212115</v>
      </c>
      <c r="C35" t="n">
        <v>66573</v>
      </c>
      <c r="D35" t="n">
        <v>1096</v>
      </c>
      <c r="E35" t="inlineStr">
        <is>
          <t>Подкосы фермы: □30×20×2; Колонны: □140×140×4; Связи по скатам: □80×80×2; Стропила: □120×80×3; Обрешётка: □60×60×2; Затяжки: □50×50×2; Подвеска (стойка у конька): □20×20×2</t>
        </is>
      </c>
    </row>
    <row r="36">
      <c r="A36" t="inlineStr">
        <is>
          <t>2 рамы (только по колоннам), обвязка, подвеска, попер. подкосы, связи по скатам</t>
        </is>
      </c>
      <c r="B36" t="n">
        <v>212534</v>
      </c>
      <c r="C36" t="n">
        <v>66836</v>
      </c>
      <c r="D36" t="n">
        <v>1111</v>
      </c>
      <c r="E36" t="inlineStr">
        <is>
          <t>Колонны: □140×100×4; Связи по скатам: □90×30×2; Стропила: □160×80×4; Продольная обвязка: □35×35×2; Обрешётка: □60×60×2; Подкосы колонна→затяжка: □30×20×2; Затяжки: □40×40×2; Подвеска (стойка у конька): □20×20×2</t>
        </is>
      </c>
    </row>
    <row r="37">
      <c r="A37" t="inlineStr">
        <is>
          <t>2 рамы (только по колоннам), обвязка + прод. подкосы, подвеска, попер. подкосы, связи по скатам</t>
        </is>
      </c>
      <c r="B37" t="n">
        <v>212608</v>
      </c>
      <c r="C37" t="n">
        <v>65224</v>
      </c>
      <c r="D37" t="n">
        <v>1054</v>
      </c>
      <c r="E37" t="inlineStr">
        <is>
          <t>Продольные подкосы: □30×20×2; Колонны: □120×120×3; Связи по скатам: □80×30×2; Стропила: □160×80×4; Продольная обвязка: □30×20×2 пл.; Обрешётка: □60×60×2; Подкосы колонна→затяжка: □30×20×2; Затяжки: □40×40×2; Подвеска (стойка у конька): □20×20×2</t>
        </is>
      </c>
    </row>
    <row r="38">
      <c r="A38" t="inlineStr">
        <is>
          <t>2 рамы (только по колоннам), подвеска, без попер. подкосов, связи по скатам</t>
        </is>
      </c>
      <c r="B38" t="n">
        <v>212658</v>
      </c>
      <c r="C38" t="n">
        <v>68904</v>
      </c>
      <c r="D38" t="n">
        <v>1136</v>
      </c>
      <c r="E38" t="inlineStr">
        <is>
          <t>Колонны: □140×140×4; Связи по скатам: □80×80×2; Стропила: □120×80×4; Обрешётка: □60×60×2; Затяжки: □60×60×2; Подвеска (стойка у конька): □20×20×2</t>
        </is>
      </c>
    </row>
    <row r="39">
      <c r="A39" t="inlineStr">
        <is>
          <t>2 рамы (только по колоннам), обвязка + прод. подкосы, подвеска + подкосы фермы, попер. подкосы, связи по скатам</t>
        </is>
      </c>
      <c r="B39" t="n">
        <v>212770</v>
      </c>
      <c r="C39" t="n">
        <v>63146</v>
      </c>
      <c r="D39" t="n">
        <v>1019</v>
      </c>
      <c r="E39" t="inlineStr">
        <is>
          <t>Подкосы фермы: □30×20×2; Продольные подкосы: □25×25×2; Колонны: □100×100×3,8; Связи по скатам: □70×70×2; Стропила: □100×100×2,8; Продольная обвязка: □60×40×2; Обрешётка: □60×60×2; Подкосы колонна→затяжка: □30×20×2; Затяжки: □40×40×2; Подвеска (стойка у конька): □40×40×2</t>
        </is>
      </c>
    </row>
    <row r="40">
      <c r="A40" t="inlineStr">
        <is>
          <t>2 рамы (только по колоннам), подвеска + подкосы фермы, попер. подкосы, связи по скатам</t>
        </is>
      </c>
      <c r="B40" t="n">
        <v>213997</v>
      </c>
      <c r="C40" t="n">
        <v>66492</v>
      </c>
      <c r="D40" t="n">
        <v>1096</v>
      </c>
      <c r="E40" t="inlineStr">
        <is>
          <t>Подкосы фермы: □30×20×2; Колонны: □140×140×4; Связи по скатам: □80×80×2; Стропила: □120×80×3; Обрешётка: □60×60×2; Подкосы колонна→затяжка: □40×20×2; Затяжки: □40×40×2; Подвеска (стойка у конька): □20×20×2</t>
        </is>
      </c>
    </row>
    <row r="41">
      <c r="A41" t="inlineStr">
        <is>
          <t>2 рамы (только по колоннам), подвеска, попер. подкосы, связи по скатам</t>
        </is>
      </c>
      <c r="B41" t="n">
        <v>215202</v>
      </c>
      <c r="C41" t="n">
        <v>69149</v>
      </c>
      <c r="D41" t="n">
        <v>1138</v>
      </c>
      <c r="E41" t="inlineStr">
        <is>
          <t>Колонны: □140×140×4; Связи по скатам: □80×80×2; Стропила: □120×80×4; Обрешётка: □60×60×2; Подкосы колонна→затяжка: □40×20×2; Затяжки: □50×50×2; Подвеска (стойка у конька): □50×50×2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30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Источник</t>
        </is>
      </c>
    </row>
    <row r="2">
      <c r="A2" t="inlineStr">
        <is>
          <t>S0 (Харків)</t>
        </is>
      </c>
      <c r="B2" t="n">
        <v>1600</v>
      </c>
      <c r="C2" t="inlineStr">
        <is>
          <t>Па</t>
        </is>
      </c>
      <c r="D2" t="inlineStr">
        <is>
          <t>ДБН В.1.2-2, дод. Е</t>
        </is>
      </c>
    </row>
    <row r="3">
      <c r="A3" t="inlineStr">
        <is>
          <t>γfm снег (T=50)</t>
        </is>
      </c>
      <c r="B3" t="n">
        <v>1</v>
      </c>
      <c r="C3" t="inlineStr"/>
      <c r="D3" t="inlineStr">
        <is>
          <t>табл. 8.1</t>
        </is>
      </c>
    </row>
    <row r="4">
      <c r="A4" t="inlineStr">
        <is>
          <t>γfe снег (η=0.02)</t>
        </is>
      </c>
      <c r="B4" t="n">
        <v>0.49</v>
      </c>
      <c r="C4" t="inlineStr"/>
      <c r="D4" t="inlineStr">
        <is>
          <t>табл. 8.3</t>
        </is>
      </c>
    </row>
    <row r="5">
      <c r="A5" t="inlineStr">
        <is>
          <t>W0 (Харків)</t>
        </is>
      </c>
      <c r="B5" t="n">
        <v>430</v>
      </c>
      <c r="C5" t="inlineStr">
        <is>
          <t>Па</t>
        </is>
      </c>
      <c r="D5" t="inlineStr">
        <is>
          <t>дод. Е</t>
        </is>
      </c>
    </row>
    <row r="6">
      <c r="A6" t="inlineStr">
        <is>
          <t>γfm ветер (T=50)</t>
        </is>
      </c>
      <c r="B6" t="n">
        <v>1</v>
      </c>
      <c r="C6" t="inlineStr"/>
      <c r="D6" t="inlineStr">
        <is>
          <t>табл. 9.1</t>
        </is>
      </c>
    </row>
    <row r="7">
      <c r="A7" t="inlineStr">
        <is>
          <t>γfe ветер (η=0.02)</t>
        </is>
      </c>
      <c r="B7" t="n">
        <v>0.21</v>
      </c>
      <c r="C7" t="inlineStr"/>
      <c r="D7" t="inlineStr">
        <is>
          <t>табл. 9.3</t>
        </is>
      </c>
    </row>
    <row r="8">
      <c r="A8" t="inlineStr">
        <is>
          <t>Ch (тип III, z≤5 м)</t>
        </is>
      </c>
      <c r="B8" t="n">
        <v>0.4</v>
      </c>
      <c r="C8" t="inlineStr"/>
      <c r="D8" t="inlineStr">
        <is>
          <t>табл. 9.01</t>
        </is>
      </c>
    </row>
    <row r="9">
      <c r="A9" t="inlineStr">
        <is>
          <t>Ce навес тип I, 12°</t>
        </is>
      </c>
      <c r="B9" t="inlineStr">
        <is>
          <t>+0.62/−1.04/−0.88/−0.08</t>
        </is>
      </c>
      <c r="C9" t="inlineStr"/>
      <c r="D9" t="inlineStr">
        <is>
          <t>схема 11 дод. И</t>
        </is>
      </c>
    </row>
    <row r="10">
      <c r="A10" t="inlineStr">
        <is>
          <t>Cf (трение)</t>
        </is>
      </c>
      <c r="B10" t="n">
        <v>0.04</v>
      </c>
      <c r="C10" t="inlineStr"/>
      <c r="D10" t="inlineStr">
        <is>
          <t>прим. 2 к схеме 11</t>
        </is>
      </c>
    </row>
    <row r="11">
      <c r="A11" t="inlineStr">
        <is>
          <t>Кровля (металлочерепица)</t>
        </is>
      </c>
      <c r="B11" t="n">
        <v>50</v>
      </c>
      <c r="C11" t="inlineStr">
        <is>
          <t>Па по скату</t>
        </is>
      </c>
      <c r="D11" t="inlineStr">
        <is>
          <t>γf = 1.05 (0.95)</t>
        </is>
      </c>
    </row>
    <row r="12">
      <c r="A12" t="inlineStr">
        <is>
          <t>Сталь, γf</t>
        </is>
      </c>
      <c r="B12" t="n">
        <v>1.05</v>
      </c>
      <c r="C12" t="inlineStr"/>
      <c r="D12" t="inlineStr">
        <is>
          <t>табл. 5.1</t>
        </is>
      </c>
    </row>
    <row r="13">
      <c r="A13" t="inlineStr">
        <is>
          <t>ψ кратковр. 1/2</t>
        </is>
      </c>
      <c r="B13" t="inlineStr">
        <is>
          <t>1.0 / 0.9</t>
        </is>
      </c>
      <c r="C13" t="inlineStr"/>
      <c r="D13" t="inlineStr">
        <is>
          <t>п. 4.18</t>
        </is>
      </c>
    </row>
    <row r="14">
      <c r="A14" t="inlineStr">
        <is>
          <t>γn (СС1)</t>
        </is>
      </c>
      <c r="B14" t="n">
        <v>1</v>
      </c>
      <c r="C14" t="inlineStr"/>
      <c r="D14" t="inlineStr">
        <is>
          <t>ДБН В.1.2-14</t>
        </is>
      </c>
    </row>
    <row r="15">
      <c r="A15" t="inlineStr">
        <is>
          <t>Ry</t>
        </is>
      </c>
      <c r="B15" t="n">
        <v>230</v>
      </c>
      <c r="C15" t="inlineStr">
        <is>
          <t>МПа</t>
        </is>
      </c>
      <c r="D15" t="inlineStr">
        <is>
          <t>С235/S235JR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2026-10-18T11:32:13Z</dcterms:created>
  <dcterms:modified xmlns:dcterms="http://purl.org/dc/terms/" xmlns:xsi="http://www.w3.org/2001/XMLSchema-instance" xsi:type="dcterms:W3CDTF">2026-10-18T11:32:13Z</dcterms:modified>
</cp:coreProperties>
</file>